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namedSheetViews/namedSheetView1.xml" ContentType="application/vnd.ms-excel.namedsheetviews+xml"/>
  <Override PartName="/xl/drawings/drawing1.xml" ContentType="application/vnd.openxmlformats-officedocument.drawing+xml"/>
  <Override PartName="/xl/tables/table2.xml" ContentType="application/vnd.openxmlformats-officedocument.spreadsheetml.table+xml"/>
  <Override PartName="/xl/namedSheetViews/namedSheetView2.xml" ContentType="application/vnd.ms-excel.namedsheetviews+xml"/>
  <Override PartName="/xl/namedSheetViews/namedSheetView3.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athenachua/Downloads/"/>
    </mc:Choice>
  </mc:AlternateContent>
  <xr:revisionPtr revIDLastSave="0" documentId="13_ncr:1_{A1196BFD-ADE0-E745-9E81-FCC1D0E11682}" xr6:coauthVersionLast="47" xr6:coauthVersionMax="47" xr10:uidLastSave="{00000000-0000-0000-0000-000000000000}"/>
  <bookViews>
    <workbookView xWindow="0" yWindow="0" windowWidth="28800" windowHeight="18000" activeTab="3" xr2:uid="{3188A270-CB6B-4227-9441-D7C1D611BEFE}"/>
  </bookViews>
  <sheets>
    <sheet name="All Scenarios" sheetId="9" state="hidden" r:id="rId1"/>
    <sheet name="Scenarios by day" sheetId="5" state="hidden" r:id="rId2"/>
    <sheet name="Wireframe" sheetId="6" state="hidden" r:id="rId3"/>
    <sheet name="MSEL" sheetId="15" r:id="rId4"/>
    <sheet name="Sheet1" sheetId="17" r:id="rId5"/>
    <sheet name="Sheet2" sheetId="18" r:id="rId6"/>
    <sheet name="Scenario playout 2023" sheetId="12" state="hidden" r:id="rId7"/>
    <sheet name="Obs Chklist" sheetId="16" state="hidden" r:id="rId8"/>
    <sheet name="Archive" sheetId="1" state="hidden" r:id="rId9"/>
  </sheets>
  <definedNames>
    <definedName name="_xlnm._FilterDatabase" localSheetId="0" hidden="1">'All Scenarios'!$B$2:$AC$111</definedName>
    <definedName name="_xlnm._FilterDatabase" localSheetId="4" hidden="1">Sheet1!$A$1:$C$1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 i="12" l="1"/>
  <c r="K47" i="12"/>
  <c r="K46" i="12"/>
  <c r="K10" i="12"/>
  <c r="K37" i="12"/>
  <c r="K25" i="12"/>
  <c r="K17" i="12"/>
  <c r="K36" i="12"/>
  <c r="K24" i="12"/>
  <c r="K35" i="12"/>
  <c r="K34" i="12"/>
  <c r="K44" i="12"/>
  <c r="K33" i="12"/>
  <c r="K23" i="12"/>
  <c r="K22" i="12"/>
  <c r="K16" i="12"/>
  <c r="K9" i="12"/>
  <c r="K8" i="12"/>
  <c r="K7" i="12"/>
  <c r="K43" i="12"/>
  <c r="K32" i="12"/>
  <c r="K31" i="12"/>
  <c r="K21" i="12"/>
  <c r="K15" i="12"/>
  <c r="K6" i="12"/>
  <c r="K5" i="12"/>
  <c r="K4" i="12"/>
  <c r="K45" i="12"/>
  <c r="K42" i="12"/>
  <c r="K14" i="12"/>
  <c r="K41" i="12"/>
  <c r="K30" i="12"/>
  <c r="K20" i="12"/>
  <c r="K29" i="12"/>
  <c r="K19" i="12"/>
  <c r="K40" i="12"/>
  <c r="K13" i="12"/>
  <c r="K39" i="12"/>
  <c r="K18" i="12"/>
  <c r="K12" i="12"/>
  <c r="K28" i="12"/>
  <c r="K27" i="12"/>
  <c r="K38" i="12"/>
  <c r="K26" i="12"/>
  <c r="K11" i="12"/>
  <c r="K3" i="12"/>
  <c r="F111" i="9"/>
  <c r="F47" i="9"/>
  <c r="F3" i="9"/>
  <c r="F10" i="9"/>
  <c r="F113" i="9"/>
  <c r="F116" i="9"/>
  <c r="F118" i="9"/>
  <c r="F109" i="9"/>
  <c r="F100" i="9"/>
  <c r="F87" i="9"/>
  <c r="F85" i="9"/>
  <c r="F81" i="9"/>
  <c r="F70" i="9"/>
  <c r="F63" i="9"/>
  <c r="F60" i="9"/>
  <c r="F57" i="9"/>
  <c r="F40" i="9"/>
  <c r="F36" i="9"/>
  <c r="F29" i="9"/>
  <c r="F25" i="9"/>
  <c r="F16"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tc={534421E0-21C2-4615-9867-7EF9D7291513}</author>
  </authors>
  <commentList>
    <comment ref="A1" authorId="0" shapeId="0" xr:uid="{534421E0-21C2-4615-9867-7EF9D7291513}">
      <text>
        <t>[Threaded comment]
Your version of Excel allows you to read this threaded comment; however, any edits to it will get removed if the file is opened in a newer version of Excel. Learn more: https://go.microsoft.com/fwlink/?linkid=870924
Comment:
    @Clement Tan do you mean for the CMG/CMT scanrios to be in this sequence? JP's CMT is on day 1. 
also, are these scenarios already in the sequence to be played out? Please do so if they are not. But we can say indicative only.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tc={5C520519-46E9-42DE-87BB-A419631C8E4E}</author>
  </authors>
  <commentList>
    <comment ref="F55" authorId="0" shapeId="0" xr:uid="{5C520519-46E9-42DE-87BB-A419631C8E4E}">
      <text>
        <t>[Threaded comment]
Your version of Excel allows you to read this threaded comment; however, any edits to it will get removed if the file is opened in a newer version of Excel. Learn more: https://go.microsoft.com/fwlink/?linkid=870924
Comment:
    MAUI Ransomware
TTPs Used by Maui Ransomware
Tactic: Execution
MITRE ATT&amp;CK T1059 Command and Scripting Interpreter
Tactic: Impact
MITRE ATT&amp;CK T1486 Data Encrypted for Impact
Maui ransomware uses a hybrid encryption approach and utilizes AES, RSA, and XOR encryption in various attack steps.
Maui contains a hard-coded RSA public key in its executable and generates a new RSA public-private key pair using the hard-coded public key at the beginning of encryption.
The new private key is stored as "maui.evd".
Then, Maui generates a 16-byte XOR key using information about "\\.\PhysicalDrive0" and encodes the new public key with the XOR key.
The encoded public key is stored as "maui.key"
Maui uses AES 128-bit symmetric encryption in CBC mode to encrypt the victim's files.
Each file is encrypted with a unique secret key. 
After file encryption, Maui encrypts the secret key with the new public key generated in the first step.
Indicators of Compromises
SHA-256
45d8ac1ac692d6bb0fe776620371fca02b60cac8db23c4cc7ab5df262da42b78
830207029d83fd46a4a89cd623103ba2321b866428aa04360376e6a390063570
5b7ecf7e9d0715f1122baf4ce745c5fcd769dee48150616753fec4d6da16e99e
MD5
9b0e7c460a80f740d455a7521f0eada1
2d02f5499d35a8dffb4c8bc0b7fec5c2
4118d9adce7350c3eedeb056a3335346
SHA-1
271b90824c7bb1de98c7fa9dae6dcd59d8a0bd64
870ccd59ad2d3808c014c7c1dcc8a54de375db0c
c0e6d59e99e4adb58a2f57abf0deba61dee55c2f</t>
      </text>
    </comment>
  </commentList>
</comments>
</file>

<file path=xl/sharedStrings.xml><?xml version="1.0" encoding="utf-8"?>
<sst xmlns="http://schemas.openxmlformats.org/spreadsheetml/2006/main" count="3302" uniqueCount="1394">
  <si>
    <t>TBC</t>
  </si>
  <si>
    <t>Scenario</t>
  </si>
  <si>
    <t>MPA</t>
  </si>
  <si>
    <t>PSA</t>
  </si>
  <si>
    <t>JP</t>
  </si>
  <si>
    <t>Targeted Orgs</t>
  </si>
  <si>
    <t>Motivation</t>
  </si>
  <si>
    <t>Objective</t>
  </si>
  <si>
    <t>Scenario Title</t>
  </si>
  <si>
    <t>Short Para for Presentation</t>
  </si>
  <si>
    <t>MITRE ATT&amp;CK 
Tactic / Kill-Chain</t>
  </si>
  <si>
    <t>MITRE ATT&amp;CK 
Technique / Sub-Technique</t>
  </si>
  <si>
    <t>Targeted Aesset</t>
  </si>
  <si>
    <t>Custodian / Owner of Targeted Asset</t>
  </si>
  <si>
    <t>Attack Narrative</t>
  </si>
  <si>
    <t>Linked with Scenario</t>
  </si>
  <si>
    <t>Widespread disruption, degradation or destruction of services provided by the CII</t>
  </si>
  <si>
    <t>Loss of Sensitive Data through theft or destruction</t>
  </si>
  <si>
    <t>Tampering or Snooping on sensitive data or data managed by the CII</t>
  </si>
  <si>
    <t>Sabotage to undermine reputation and public confidence on the CII</t>
  </si>
  <si>
    <t>Breach or compromise leading to sectoral implications (spillover effect)</t>
  </si>
  <si>
    <t>Direct compromise of operational technologies leading to a cyber-physical impact</t>
  </si>
  <si>
    <t>Attack
Sopn.</t>
  </si>
  <si>
    <t>LTA Incident Category</t>
  </si>
  <si>
    <t>Approximate Level of Incident Severity (According to LTA IM doc)</t>
  </si>
  <si>
    <t>NCTAL</t>
  </si>
  <si>
    <t>Political Agenda</t>
  </si>
  <si>
    <t>Organised Crime</t>
  </si>
  <si>
    <t>X</t>
  </si>
  <si>
    <r>
      <t>TA0001:</t>
    </r>
    <r>
      <rPr>
        <sz val="14"/>
        <rFont val="Helvetica"/>
        <family val="2"/>
      </rPr>
      <t xml:space="preserve"> Initial Access</t>
    </r>
  </si>
  <si>
    <t>x</t>
  </si>
  <si>
    <t>Yellow (Heighten)</t>
  </si>
  <si>
    <r>
      <t>TA0002</t>
    </r>
    <r>
      <rPr>
        <sz val="14"/>
        <rFont val="Helvetica"/>
        <family val="2"/>
      </rPr>
      <t>: Execution</t>
    </r>
  </si>
  <si>
    <r>
      <t>TA0003</t>
    </r>
    <r>
      <rPr>
        <sz val="14"/>
        <rFont val="Helvetica"/>
        <family val="2"/>
      </rPr>
      <t>: Persistence</t>
    </r>
  </si>
  <si>
    <r>
      <t>T1547.001</t>
    </r>
    <r>
      <rPr>
        <sz val="14"/>
        <rFont val="Helvetica"/>
        <family val="2"/>
      </rPr>
      <t>: Registry Run Keys / Startup Folder</t>
    </r>
  </si>
  <si>
    <r>
      <t>TA0007</t>
    </r>
    <r>
      <rPr>
        <sz val="14"/>
        <rFont val="Helvetica"/>
        <family val="2"/>
      </rPr>
      <t>: Discovery</t>
    </r>
  </si>
  <si>
    <r>
      <t>TA0008</t>
    </r>
    <r>
      <rPr>
        <sz val="14"/>
        <rFont val="Helvetica"/>
        <family val="2"/>
      </rPr>
      <t>: Lateral Movement</t>
    </r>
  </si>
  <si>
    <r>
      <t>TA0040</t>
    </r>
    <r>
      <rPr>
        <sz val="14"/>
        <rFont val="Helvetica"/>
        <family val="2"/>
      </rPr>
      <t>: Impact</t>
    </r>
  </si>
  <si>
    <r>
      <t>T1486</t>
    </r>
    <r>
      <rPr>
        <sz val="14"/>
        <rFont val="Helvetica"/>
        <family val="2"/>
      </rPr>
      <t>: Data Encrypted for Impact</t>
    </r>
  </si>
  <si>
    <t>User Data, Shipping Data</t>
  </si>
  <si>
    <t>To degrade trust in MPA’s ability to manage port operations and vessel traffic in the Singapore straits</t>
  </si>
  <si>
    <t>MS Exchange Server</t>
  </si>
  <si>
    <t>PIL</t>
  </si>
  <si>
    <t>User Workstations, Server</t>
  </si>
  <si>
    <t>To destroy the commercial viability of sectoral partners, abusing trust relationships with PIL, PSA and JP</t>
  </si>
  <si>
    <t>SFTP interface compromised via known vulnerability yielding access to the internal environment and leading to sectoral implications</t>
  </si>
  <si>
    <t>digitalPort@SG™</t>
  </si>
  <si>
    <t>Red</t>
  </si>
  <si>
    <r>
      <t>T1203</t>
    </r>
    <r>
      <rPr>
        <sz val="14"/>
        <rFont val="Helvetica"/>
        <family val="2"/>
      </rPr>
      <t>: Exploitation for Client Execution</t>
    </r>
  </si>
  <si>
    <t>MPA
PSA
JP</t>
  </si>
  <si>
    <r>
      <t>TA0004</t>
    </r>
    <r>
      <rPr>
        <sz val="14"/>
        <rFont val="Helvetica"/>
        <family val="2"/>
      </rPr>
      <t>: Privilege Escalation</t>
    </r>
  </si>
  <si>
    <r>
      <t>TA0006</t>
    </r>
    <r>
      <rPr>
        <sz val="14"/>
        <rFont val="Helvetica"/>
        <family val="2"/>
      </rPr>
      <t>: Credential Access</t>
    </r>
  </si>
  <si>
    <r>
      <t>TA0009</t>
    </r>
    <r>
      <rPr>
        <sz val="14"/>
        <rFont val="Helvetica"/>
        <family val="2"/>
      </rPr>
      <t>: Collection</t>
    </r>
  </si>
  <si>
    <t>digitalPort @ SG™
PTMS</t>
  </si>
  <si>
    <r>
      <t>TA0010</t>
    </r>
    <r>
      <rPr>
        <sz val="14"/>
        <rFont val="Helvetica"/>
        <family val="2"/>
      </rPr>
      <t>: Exfiltration</t>
    </r>
  </si>
  <si>
    <t>To disrupt cooperation and communication capabilities of the Maritime sector in Singapore</t>
  </si>
  <si>
    <t>Denial of Service (DDoS) attack carried out against MPA corporate website</t>
  </si>
  <si>
    <r>
      <t xml:space="preserve">TA0043: </t>
    </r>
    <r>
      <rPr>
        <sz val="14"/>
        <rFont val="Helvetica"/>
        <family val="2"/>
      </rPr>
      <t>Reconnaissance</t>
    </r>
  </si>
  <si>
    <t>Corporate website</t>
  </si>
  <si>
    <r>
      <t>TA0042</t>
    </r>
    <r>
      <rPr>
        <sz val="14"/>
        <rFont val="Helvetica"/>
        <family val="2"/>
      </rPr>
      <t>: Resource Development</t>
    </r>
  </si>
  <si>
    <r>
      <t>T1489</t>
    </r>
    <r>
      <rPr>
        <sz val="14"/>
        <rFont val="Helvetica"/>
        <family val="2"/>
      </rPr>
      <t>: Service Stop</t>
    </r>
    <r>
      <rPr>
        <b/>
        <sz val="14"/>
        <rFont val="Helvetica"/>
        <family val="2"/>
      </rPr>
      <t xml:space="preserve">
T1529: </t>
    </r>
    <r>
      <rPr>
        <sz val="14"/>
        <rFont val="Helvetica"/>
        <family val="2"/>
      </rPr>
      <t>System Shutdown/Reboot</t>
    </r>
  </si>
  <si>
    <t>To degrade public trust in and the international reputation of the Singapore Maritime sector</t>
  </si>
  <si>
    <t>Software Supply Chain Compromise leading to exploitation of vulnerable open-source library in the digitalPort@SG™ webpage, and subsequent Web Defacement attack</t>
  </si>
  <si>
    <r>
      <t>TA0043</t>
    </r>
    <r>
      <rPr>
        <sz val="14"/>
        <rFont val="Helvetica"/>
        <family val="2"/>
      </rPr>
      <t>: Reconnaissance</t>
    </r>
  </si>
  <si>
    <r>
      <t xml:space="preserve">T1595.002: </t>
    </r>
    <r>
      <rPr>
        <sz val="14"/>
        <rFont val="Helvetica"/>
        <family val="2"/>
      </rPr>
      <t>Vulnerability Scanning</t>
    </r>
  </si>
  <si>
    <t>Green (Alert)</t>
  </si>
  <si>
    <r>
      <t>TA0001</t>
    </r>
    <r>
      <rPr>
        <sz val="14"/>
        <rFont val="Helvetica"/>
        <family val="2"/>
      </rPr>
      <t>: Initial Access</t>
    </r>
  </si>
  <si>
    <r>
      <t>T1190</t>
    </r>
    <r>
      <rPr>
        <sz val="14"/>
        <rFont val="Helvetica"/>
        <family val="2"/>
      </rPr>
      <t>: Exploit Public-Facing Application</t>
    </r>
  </si>
  <si>
    <r>
      <t>T1505.003</t>
    </r>
    <r>
      <rPr>
        <sz val="14"/>
        <rFont val="Helvetica"/>
        <family val="2"/>
      </rPr>
      <t>: Web Shell</t>
    </r>
  </si>
  <si>
    <r>
      <t>T1491.002</t>
    </r>
    <r>
      <rPr>
        <sz val="14"/>
        <rFont val="Helvetica"/>
        <family val="2"/>
      </rPr>
      <t>: External Defacement</t>
    </r>
  </si>
  <si>
    <t>To degrade vessel traffic visibility, allowing the trafficking of illegal goods</t>
  </si>
  <si>
    <t>Compromise of Software Supply Chain of C-Scope, forcing fallback to AIS and causing temporary loss visibility for trafficking</t>
  </si>
  <si>
    <r>
      <t xml:space="preserve">TA0042: </t>
    </r>
    <r>
      <rPr>
        <sz val="14"/>
        <rFont val="Helvetica"/>
        <family val="2"/>
      </rPr>
      <t>Resource Development</t>
    </r>
  </si>
  <si>
    <r>
      <t>T1588.002</t>
    </r>
    <r>
      <rPr>
        <sz val="14"/>
        <rFont val="Helvetica"/>
        <family val="2"/>
      </rPr>
      <t>: Obtain Capabilities - Tool</t>
    </r>
  </si>
  <si>
    <t>VTIS
(C-Scope, AIS)</t>
  </si>
  <si>
    <r>
      <t>T1195.002</t>
    </r>
    <r>
      <rPr>
        <sz val="14"/>
        <rFont val="Helvetica"/>
        <family val="2"/>
      </rPr>
      <t>: Compromise Software Supply Chain</t>
    </r>
    <r>
      <rPr>
        <b/>
        <sz val="14"/>
        <rFont val="Helvetica"/>
        <family val="2"/>
      </rPr>
      <t xml:space="preserve">
T1199: </t>
    </r>
    <r>
      <rPr>
        <sz val="14"/>
        <rFont val="Helvetica"/>
        <family val="2"/>
      </rPr>
      <t>Trusted Relationship</t>
    </r>
  </si>
  <si>
    <r>
      <t>TA0011</t>
    </r>
    <r>
      <rPr>
        <sz val="14"/>
        <rFont val="Helvetica"/>
        <family val="2"/>
      </rPr>
      <t>: Command and Control</t>
    </r>
  </si>
  <si>
    <t>To disrupt the flow of traffic through the Singapore straits</t>
  </si>
  <si>
    <t>Compromise of Software Supply Chain of C-Scope and spoofing of the AIS beaconing system causing temporary loss visibility and leading to a naval accident</t>
  </si>
  <si>
    <t>VTIS</t>
  </si>
  <si>
    <r>
      <t>T1489</t>
    </r>
    <r>
      <rPr>
        <sz val="14"/>
        <rFont val="Helvetica"/>
        <family val="2"/>
      </rPr>
      <t>: Service Stop</t>
    </r>
    <r>
      <rPr>
        <b/>
        <sz val="14"/>
        <rFont val="Helvetica"/>
        <family val="2"/>
      </rPr>
      <t xml:space="preserve">
T1529: </t>
    </r>
    <r>
      <rPr>
        <sz val="14"/>
        <rFont val="Helvetica"/>
        <family val="2"/>
      </rPr>
      <t>System Shutdown/Reboot</t>
    </r>
    <r>
      <rPr>
        <b/>
        <sz val="14"/>
        <rFont val="Helvetica"/>
        <family val="2"/>
      </rPr>
      <t xml:space="preserve">
T1490: </t>
    </r>
    <r>
      <rPr>
        <sz val="14"/>
        <rFont val="Helvetica"/>
        <family val="2"/>
      </rPr>
      <t>Inhibit System Recovery</t>
    </r>
  </si>
  <si>
    <r>
      <t>T1496</t>
    </r>
    <r>
      <rPr>
        <sz val="14"/>
        <rFont val="Helvetica"/>
        <family val="2"/>
      </rPr>
      <t>: Resource Hijacking</t>
    </r>
  </si>
  <si>
    <t>To cause embarrassment and threaten data leakage for financial gain</t>
  </si>
  <si>
    <t>DNS poisoning leading to exfiltration of sensitive information and extortion, followed by Denial of Service attack</t>
  </si>
  <si>
    <t>SmartEntry@Sea</t>
  </si>
  <si>
    <r>
      <t>T1203</t>
    </r>
    <r>
      <rPr>
        <sz val="14"/>
        <rFont val="Helvetica"/>
        <family val="2"/>
      </rPr>
      <t>: Exploitation for Client Execution</t>
    </r>
    <r>
      <rPr>
        <b/>
        <sz val="14"/>
        <rFont val="Helvetica"/>
        <family val="2"/>
      </rPr>
      <t xml:space="preserve">
T1059.004: </t>
    </r>
    <r>
      <rPr>
        <sz val="14"/>
        <rFont val="Helvetica"/>
        <family val="2"/>
      </rPr>
      <t>Unix Shell</t>
    </r>
  </si>
  <si>
    <r>
      <t>T1210</t>
    </r>
    <r>
      <rPr>
        <sz val="14"/>
        <rFont val="Helvetica"/>
        <family val="2"/>
      </rPr>
      <t>: Exploitation of Remote Services</t>
    </r>
  </si>
  <si>
    <t>MPA Infrastructure</t>
  </si>
  <si>
    <r>
      <t>T1584.002</t>
    </r>
    <r>
      <rPr>
        <sz val="14"/>
        <rFont val="Helvetica"/>
        <family val="2"/>
      </rPr>
      <t>: Compromise Infrastructure - DNS Server</t>
    </r>
  </si>
  <si>
    <t>MPA DNS Servers</t>
  </si>
  <si>
    <r>
      <t>T1040</t>
    </r>
    <r>
      <rPr>
        <sz val="14"/>
        <rFont val="Helvetica"/>
        <family val="2"/>
      </rPr>
      <t>: Network Sniffing</t>
    </r>
  </si>
  <si>
    <r>
      <t>T1557</t>
    </r>
    <r>
      <rPr>
        <sz val="14"/>
        <rFont val="Helvetica"/>
        <family val="2"/>
      </rPr>
      <t>: Man-in-the-Middle</t>
    </r>
  </si>
  <si>
    <r>
      <t>T1020</t>
    </r>
    <r>
      <rPr>
        <sz val="14"/>
        <rFont val="Helvetica"/>
        <family val="2"/>
      </rPr>
      <t>: Automated Exfiltration</t>
    </r>
    <r>
      <rPr>
        <b/>
        <sz val="14"/>
        <rFont val="Helvetica"/>
        <family val="2"/>
      </rPr>
      <t xml:space="preserve">
T1041: </t>
    </r>
    <r>
      <rPr>
        <sz val="14"/>
        <rFont val="Helvetica"/>
        <family val="2"/>
      </rPr>
      <t>Exfiltration Over C2 Channel</t>
    </r>
  </si>
  <si>
    <r>
      <t>T1529</t>
    </r>
    <r>
      <rPr>
        <sz val="14"/>
        <rFont val="Helvetica"/>
        <family val="2"/>
      </rPr>
      <t>: System Shutdown/Reboot</t>
    </r>
  </si>
  <si>
    <t>To degrade port operations in Singapore, leading to legal liability and financial loss of shipping lines</t>
  </si>
  <si>
    <t>Software Supply Chain ccompromise of automation software in Automated Rail-Mounted Gantries (aRMGs) leading to operational degradation</t>
  </si>
  <si>
    <r>
      <rPr>
        <b/>
        <sz val="14"/>
        <color rgb="FF000000"/>
        <rFont val="Helvetica"/>
        <family val="2"/>
      </rPr>
      <t>TA0042</t>
    </r>
    <r>
      <rPr>
        <sz val="14"/>
        <color rgb="FF000000"/>
        <rFont val="Helvetica"/>
        <family val="2"/>
      </rPr>
      <t xml:space="preserve">: Resource Development
</t>
    </r>
    <r>
      <rPr>
        <b/>
        <sz val="14"/>
        <color rgb="FF000000"/>
        <rFont val="Helvetica"/>
        <family val="2"/>
      </rPr>
      <t>TA0001</t>
    </r>
    <r>
      <rPr>
        <sz val="14"/>
        <color rgb="FF000000"/>
        <rFont val="Helvetica"/>
        <family val="2"/>
      </rPr>
      <t xml:space="preserve">: Initial Access
</t>
    </r>
    <r>
      <rPr>
        <b/>
        <sz val="14"/>
        <color rgb="FF000000"/>
        <rFont val="Helvetica"/>
        <family val="2"/>
      </rPr>
      <t>TA0002</t>
    </r>
    <r>
      <rPr>
        <sz val="14"/>
        <color rgb="FF000000"/>
        <rFont val="Helvetica"/>
        <family val="2"/>
      </rPr>
      <t xml:space="preserve">: Execution
</t>
    </r>
    <r>
      <rPr>
        <b/>
        <sz val="14"/>
        <color rgb="FF000000"/>
        <rFont val="Helvetica"/>
        <family val="2"/>
      </rPr>
      <t>TA0003</t>
    </r>
    <r>
      <rPr>
        <sz val="14"/>
        <color rgb="FF000000"/>
        <rFont val="Helvetica"/>
        <family val="2"/>
      </rPr>
      <t xml:space="preserve">: Persistence
</t>
    </r>
    <r>
      <rPr>
        <b/>
        <sz val="14"/>
        <color rgb="FF000000"/>
        <rFont val="Helvetica"/>
        <family val="2"/>
      </rPr>
      <t>TA0004</t>
    </r>
    <r>
      <rPr>
        <sz val="14"/>
        <color rgb="FF000000"/>
        <rFont val="Helvetica"/>
        <family val="2"/>
      </rPr>
      <t xml:space="preserve">: Privilege Escalation
</t>
    </r>
    <r>
      <rPr>
        <b/>
        <sz val="14"/>
        <color rgb="FF000000"/>
        <rFont val="Helvetica"/>
        <family val="2"/>
      </rPr>
      <t>TA0006</t>
    </r>
    <r>
      <rPr>
        <sz val="14"/>
        <color rgb="FF000000"/>
        <rFont val="Helvetica"/>
        <family val="2"/>
      </rPr>
      <t xml:space="preserve">: Credential Access
</t>
    </r>
    <r>
      <rPr>
        <b/>
        <sz val="14"/>
        <color rgb="FF000000"/>
        <rFont val="Helvetica"/>
        <family val="2"/>
      </rPr>
      <t>TA0007</t>
    </r>
    <r>
      <rPr>
        <sz val="14"/>
        <color rgb="FF000000"/>
        <rFont val="Helvetica"/>
        <family val="2"/>
      </rPr>
      <t xml:space="preserve">: Discovery
</t>
    </r>
    <r>
      <rPr>
        <b/>
        <sz val="14"/>
        <color rgb="FF000000"/>
        <rFont val="Helvetica"/>
        <family val="2"/>
      </rPr>
      <t>TA0008</t>
    </r>
    <r>
      <rPr>
        <sz val="14"/>
        <color rgb="FF000000"/>
        <rFont val="Helvetica"/>
        <family val="2"/>
      </rPr>
      <t xml:space="preserve">: Lateral Movement
</t>
    </r>
    <r>
      <rPr>
        <b/>
        <sz val="14"/>
        <color rgb="FF000000"/>
        <rFont val="Helvetica"/>
        <family val="2"/>
      </rPr>
      <t>TA0011</t>
    </r>
    <r>
      <rPr>
        <sz val="14"/>
        <color rgb="FF000000"/>
        <rFont val="Helvetica"/>
        <family val="2"/>
      </rPr>
      <t xml:space="preserve">: Command and Control
</t>
    </r>
    <r>
      <rPr>
        <b/>
        <sz val="14"/>
        <color rgb="FF000000"/>
        <rFont val="Helvetica"/>
        <family val="2"/>
      </rPr>
      <t>TA0040</t>
    </r>
    <r>
      <rPr>
        <sz val="14"/>
        <color rgb="FF000000"/>
        <rFont val="Helvetica"/>
        <family val="2"/>
      </rPr>
      <t>: Impact</t>
    </r>
  </si>
  <si>
    <r>
      <t xml:space="preserve">T1587.001: </t>
    </r>
    <r>
      <rPr>
        <sz val="14"/>
        <color rgb="FF000000"/>
        <rFont val="Helvetica"/>
        <family val="2"/>
      </rPr>
      <t>Develop Capabilities – Malware</t>
    </r>
    <r>
      <rPr>
        <b/>
        <sz val="14"/>
        <color rgb="FF000000"/>
        <rFont val="Helvetica"/>
        <family val="2"/>
      </rPr>
      <t xml:space="preserve">
T1566.002: </t>
    </r>
    <r>
      <rPr>
        <sz val="14"/>
        <color rgb="FF000000"/>
        <rFont val="Helvetica"/>
        <family val="2"/>
      </rPr>
      <t>Spearphishing Link</t>
    </r>
    <r>
      <rPr>
        <b/>
        <sz val="14"/>
        <color rgb="FF000000"/>
        <rFont val="Helvetica"/>
        <family val="2"/>
      </rPr>
      <t xml:space="preserve">
T1204.001: </t>
    </r>
    <r>
      <rPr>
        <sz val="14"/>
        <color rgb="FF000000"/>
        <rFont val="Helvetica"/>
        <family val="2"/>
      </rPr>
      <t>User Execution - Malicious Link</t>
    </r>
    <r>
      <rPr>
        <b/>
        <sz val="14"/>
        <color rgb="FF000000"/>
        <rFont val="Helvetica"/>
        <family val="2"/>
      </rPr>
      <t xml:space="preserve">
T1543.003:</t>
    </r>
    <r>
      <rPr>
        <sz val="14"/>
        <color rgb="FF000000"/>
        <rFont val="Helvetica"/>
        <family val="2"/>
      </rPr>
      <t xml:space="preserve"> Windows Service</t>
    </r>
    <r>
      <rPr>
        <b/>
        <sz val="14"/>
        <color rgb="FF000000"/>
        <rFont val="Helvetica"/>
        <family val="2"/>
      </rPr>
      <t xml:space="preserve">
T1003.001: </t>
    </r>
    <r>
      <rPr>
        <sz val="14"/>
        <color rgb="FF000000"/>
        <rFont val="Helvetica"/>
        <family val="2"/>
      </rPr>
      <t>LSASS Memory</t>
    </r>
    <r>
      <rPr>
        <b/>
        <sz val="14"/>
        <color rgb="FF000000"/>
        <rFont val="Helvetica"/>
        <family val="2"/>
      </rPr>
      <t xml:space="preserve">
T1083:</t>
    </r>
    <r>
      <rPr>
        <sz val="14"/>
        <color rgb="FF000000"/>
        <rFont val="Helvetica"/>
        <family val="2"/>
      </rPr>
      <t xml:space="preserve"> File and Directory Discovery</t>
    </r>
    <r>
      <rPr>
        <b/>
        <sz val="14"/>
        <color rgb="FF000000"/>
        <rFont val="Helvetica"/>
        <family val="2"/>
      </rPr>
      <t xml:space="preserve">
T1021.002: </t>
    </r>
    <r>
      <rPr>
        <sz val="14"/>
        <color rgb="FF000000"/>
        <rFont val="Helvetica"/>
        <family val="2"/>
      </rPr>
      <t>SMB/Windows Admin Shares</t>
    </r>
    <r>
      <rPr>
        <b/>
        <sz val="14"/>
        <color rgb="FF000000"/>
        <rFont val="Helvetica"/>
        <family val="2"/>
      </rPr>
      <t xml:space="preserve">
T1105: </t>
    </r>
    <r>
      <rPr>
        <sz val="14"/>
        <color rgb="FF000000"/>
        <rFont val="Helvetica"/>
        <family val="2"/>
      </rPr>
      <t>Ingress Tool Transfer</t>
    </r>
    <r>
      <rPr>
        <b/>
        <sz val="14"/>
        <color rgb="FF000000"/>
        <rFont val="Helvetica"/>
        <family val="2"/>
      </rPr>
      <t xml:space="preserve">
T1071.001: </t>
    </r>
    <r>
      <rPr>
        <sz val="14"/>
        <color rgb="FF000000"/>
        <rFont val="Helvetica"/>
        <family val="2"/>
      </rPr>
      <t>Web Protocols</t>
    </r>
    <r>
      <rPr>
        <b/>
        <sz val="14"/>
        <color rgb="FF000000"/>
        <rFont val="Helvetica"/>
        <family val="2"/>
      </rPr>
      <t xml:space="preserve">
T1565.001: </t>
    </r>
    <r>
      <rPr>
        <sz val="14"/>
        <color rgb="FF000000"/>
        <rFont val="Helvetica"/>
        <family val="2"/>
      </rPr>
      <t>Stored Data Manipulation</t>
    </r>
  </si>
  <si>
    <t>Email Systems
User Workstation
Corporate Servers
Code Repositories</t>
  </si>
  <si>
    <t>aRMG Manufacturer</t>
  </si>
  <si>
    <t>3(S)</t>
  </si>
  <si>
    <r>
      <t>T1195.002</t>
    </r>
    <r>
      <rPr>
        <sz val="14"/>
        <rFont val="Helvetica"/>
        <family val="2"/>
      </rPr>
      <t>: Compromise Software Supply Chain</t>
    </r>
  </si>
  <si>
    <t>aRMG</t>
  </si>
  <si>
    <t>Tampering of aRMGs’ systems triggering fallback to manual, remote operation and causing an injury in the port</t>
  </si>
  <si>
    <t>To degrade PSA’s port operations safety and efficiency standards, leading to financial and reputational loss</t>
  </si>
  <si>
    <r>
      <t>T1587.001:</t>
    </r>
    <r>
      <rPr>
        <sz val="14"/>
        <color rgb="FF000000"/>
        <rFont val="Helvetica"/>
        <family val="2"/>
      </rPr>
      <t xml:space="preserve"> Develop Capabilities – Malware
</t>
    </r>
    <r>
      <rPr>
        <b/>
        <sz val="14"/>
        <color rgb="FF000000"/>
        <rFont val="Helvetica"/>
        <family val="2"/>
      </rPr>
      <t>T1566.002:</t>
    </r>
    <r>
      <rPr>
        <sz val="14"/>
        <color rgb="FF000000"/>
        <rFont val="Helvetica"/>
        <family val="2"/>
      </rPr>
      <t xml:space="preserve"> Spearphishing Link
</t>
    </r>
    <r>
      <rPr>
        <b/>
        <sz val="14"/>
        <color rgb="FF000000"/>
        <rFont val="Helvetica"/>
        <family val="2"/>
      </rPr>
      <t>T1204.001:</t>
    </r>
    <r>
      <rPr>
        <sz val="14"/>
        <color rgb="FF000000"/>
        <rFont val="Helvetica"/>
        <family val="2"/>
      </rPr>
      <t xml:space="preserve"> User Execution - Malicious Link
</t>
    </r>
    <r>
      <rPr>
        <b/>
        <sz val="14"/>
        <color rgb="FF000000"/>
        <rFont val="Helvetica"/>
        <family val="2"/>
      </rPr>
      <t>T1543.003:</t>
    </r>
    <r>
      <rPr>
        <sz val="14"/>
        <color rgb="FF000000"/>
        <rFont val="Helvetica"/>
        <family val="2"/>
      </rPr>
      <t xml:space="preserve"> Windows Service
</t>
    </r>
    <r>
      <rPr>
        <b/>
        <sz val="14"/>
        <color rgb="FF000000"/>
        <rFont val="Helvetica"/>
        <family val="2"/>
      </rPr>
      <t xml:space="preserve">T1003.001: </t>
    </r>
    <r>
      <rPr>
        <sz val="14"/>
        <color rgb="FF000000"/>
        <rFont val="Helvetica"/>
        <family val="2"/>
      </rPr>
      <t xml:space="preserve">LSASS Memory
</t>
    </r>
    <r>
      <rPr>
        <b/>
        <sz val="14"/>
        <color rgb="FF000000"/>
        <rFont val="Helvetica"/>
        <family val="2"/>
      </rPr>
      <t>T1083</t>
    </r>
    <r>
      <rPr>
        <sz val="14"/>
        <color rgb="FF000000"/>
        <rFont val="Helvetica"/>
        <family val="2"/>
      </rPr>
      <t xml:space="preserve">: File and Directory Discovery
</t>
    </r>
    <r>
      <rPr>
        <b/>
        <sz val="14"/>
        <color rgb="FF000000"/>
        <rFont val="Helvetica"/>
        <family val="2"/>
      </rPr>
      <t>T1021.002</t>
    </r>
    <r>
      <rPr>
        <sz val="14"/>
        <color rgb="FF000000"/>
        <rFont val="Helvetica"/>
        <family val="2"/>
      </rPr>
      <t xml:space="preserve">: SMB/Windows Admin Shares
</t>
    </r>
    <r>
      <rPr>
        <b/>
        <sz val="14"/>
        <color rgb="FF000000"/>
        <rFont val="Helvetica"/>
        <family val="2"/>
      </rPr>
      <t>T1105</t>
    </r>
    <r>
      <rPr>
        <sz val="14"/>
        <color rgb="FF000000"/>
        <rFont val="Helvetica"/>
        <family val="2"/>
      </rPr>
      <t xml:space="preserve">: Ingress Tool Transfer
</t>
    </r>
    <r>
      <rPr>
        <b/>
        <sz val="14"/>
        <color rgb="FF000000"/>
        <rFont val="Helvetica"/>
        <family val="2"/>
      </rPr>
      <t>T1071.001:</t>
    </r>
    <r>
      <rPr>
        <sz val="14"/>
        <color rgb="FF000000"/>
        <rFont val="Helvetica"/>
        <family val="2"/>
      </rPr>
      <t xml:space="preserve"> Web Protocols
</t>
    </r>
    <r>
      <rPr>
        <b/>
        <sz val="14"/>
        <color rgb="FF000000"/>
        <rFont val="Helvetica"/>
        <family val="2"/>
      </rPr>
      <t>T1565.001</t>
    </r>
    <r>
      <rPr>
        <sz val="14"/>
        <color rgb="FF000000"/>
        <rFont val="Helvetica"/>
        <family val="2"/>
      </rPr>
      <t>: Stored Data Manipulation</t>
    </r>
  </si>
  <si>
    <r>
      <t xml:space="preserve">TA0001: </t>
    </r>
    <r>
      <rPr>
        <sz val="14"/>
        <rFont val="Helvetica"/>
        <family val="2"/>
      </rPr>
      <t>Initial Access</t>
    </r>
  </si>
  <si>
    <t>Widespread compromise of port management systems originating in the SFTP system resulting in hijacked/re-routed shipments to rogue ports from malicious nation-state</t>
  </si>
  <si>
    <t>To disrupt port operations, allowing the theft of sensitive, dangerous or protected goods to embargoed nations</t>
  </si>
  <si>
    <r>
      <t xml:space="preserve">TA0043: </t>
    </r>
    <r>
      <rPr>
        <sz val="14"/>
        <color rgb="FF000000"/>
        <rFont val="Helvetica"/>
        <family val="2"/>
      </rPr>
      <t>Reconnaissance</t>
    </r>
  </si>
  <si>
    <r>
      <t xml:space="preserve">T1595: </t>
    </r>
    <r>
      <rPr>
        <sz val="14"/>
        <color rgb="FF000000"/>
        <rFont val="Helvetica"/>
        <family val="2"/>
      </rPr>
      <t>Active Scanning</t>
    </r>
  </si>
  <si>
    <r>
      <t>TA0001</t>
    </r>
    <r>
      <rPr>
        <sz val="14"/>
        <color rgb="FF000000"/>
        <rFont val="Helvetica"/>
        <family val="2"/>
      </rPr>
      <t>: Initial Access</t>
    </r>
  </si>
  <si>
    <r>
      <t>T1078</t>
    </r>
    <r>
      <rPr>
        <sz val="14"/>
        <color rgb="FF000000"/>
        <rFont val="Helvetica"/>
        <family val="2"/>
      </rPr>
      <t>: Valid Accounts</t>
    </r>
    <r>
      <rPr>
        <b/>
        <sz val="14"/>
        <color rgb="FF000000"/>
        <rFont val="Helvetica"/>
        <family val="2"/>
      </rPr>
      <t xml:space="preserve">
T1199: </t>
    </r>
    <r>
      <rPr>
        <sz val="14"/>
        <color rgb="FF000000"/>
        <rFont val="Helvetica"/>
        <family val="2"/>
      </rPr>
      <t>Trusted Relationship</t>
    </r>
  </si>
  <si>
    <r>
      <t>TA0002</t>
    </r>
    <r>
      <rPr>
        <sz val="14"/>
        <color rgb="FF000000"/>
        <rFont val="Helvetica"/>
        <family val="2"/>
      </rPr>
      <t>: Execution</t>
    </r>
    <r>
      <rPr>
        <b/>
        <sz val="14"/>
        <color rgb="FF000000"/>
        <rFont val="Helvetica"/>
        <family val="2"/>
      </rPr>
      <t xml:space="preserve">
TA0004: </t>
    </r>
    <r>
      <rPr>
        <sz val="14"/>
        <color rgb="FF000000"/>
        <rFont val="Helvetica"/>
        <family val="2"/>
      </rPr>
      <t>Privilege Escalation</t>
    </r>
  </si>
  <si>
    <r>
      <t>T1059.004</t>
    </r>
    <r>
      <rPr>
        <sz val="14"/>
        <color rgb="FF000000"/>
        <rFont val="Helvetica"/>
        <family val="2"/>
      </rPr>
      <t>: Unix Shell</t>
    </r>
    <r>
      <rPr>
        <b/>
        <sz val="14"/>
        <color rgb="FF000000"/>
        <rFont val="Helvetica"/>
        <family val="2"/>
      </rPr>
      <t xml:space="preserve">
T1055: </t>
    </r>
    <r>
      <rPr>
        <sz val="14"/>
        <color rgb="FF000000"/>
        <rFont val="Helvetica"/>
        <family val="2"/>
      </rPr>
      <t>Process Injection</t>
    </r>
  </si>
  <si>
    <r>
      <t>TA0007</t>
    </r>
    <r>
      <rPr>
        <sz val="14"/>
        <color rgb="FF000000"/>
        <rFont val="Helvetica"/>
        <family val="2"/>
      </rPr>
      <t>: Discovery</t>
    </r>
  </si>
  <si>
    <r>
      <t>T1040</t>
    </r>
    <r>
      <rPr>
        <sz val="14"/>
        <color rgb="FF000000"/>
        <rFont val="Helvetica"/>
        <family val="2"/>
      </rPr>
      <t>: Network Sniffing</t>
    </r>
  </si>
  <si>
    <r>
      <t>TA0008</t>
    </r>
    <r>
      <rPr>
        <sz val="14"/>
        <color rgb="FF000000"/>
        <rFont val="Helvetica"/>
        <family val="2"/>
      </rPr>
      <t>: Lateral Movement</t>
    </r>
  </si>
  <si>
    <r>
      <t xml:space="preserve">T1570: </t>
    </r>
    <r>
      <rPr>
        <sz val="14"/>
        <color rgb="FF000000"/>
        <rFont val="Helvetica"/>
        <family val="2"/>
      </rPr>
      <t>Lateral Tool Transfer</t>
    </r>
  </si>
  <si>
    <r>
      <t xml:space="preserve">TA0002: </t>
    </r>
    <r>
      <rPr>
        <sz val="14"/>
        <color rgb="FF000000"/>
        <rFont val="Helvetica"/>
        <family val="2"/>
      </rPr>
      <t>Execution</t>
    </r>
  </si>
  <si>
    <r>
      <t xml:space="preserve">T1059.003: </t>
    </r>
    <r>
      <rPr>
        <sz val="14"/>
        <color rgb="FF000000"/>
        <rFont val="Helvetica"/>
        <family val="2"/>
      </rPr>
      <t>Windows Command Shell</t>
    </r>
  </si>
  <si>
    <r>
      <t>TA0040</t>
    </r>
    <r>
      <rPr>
        <sz val="14"/>
        <color rgb="FF000000"/>
        <rFont val="Helvetica"/>
        <family val="2"/>
      </rPr>
      <t>: Impact</t>
    </r>
  </si>
  <si>
    <r>
      <t xml:space="preserve">T1486: </t>
    </r>
    <r>
      <rPr>
        <sz val="14"/>
        <color rgb="FF000000"/>
        <rFont val="Helvetica"/>
        <family val="2"/>
      </rPr>
      <t>Data Encrypted for Impact</t>
    </r>
  </si>
  <si>
    <t>To decapitate core operational capabilities of PSA for financial gain</t>
  </si>
  <si>
    <r>
      <t xml:space="preserve">T1195: </t>
    </r>
    <r>
      <rPr>
        <sz val="14"/>
        <rFont val="Helvetica"/>
        <family val="2"/>
      </rPr>
      <t>Supply Chain Compromise</t>
    </r>
  </si>
  <si>
    <r>
      <t xml:space="preserve">T1133: </t>
    </r>
    <r>
      <rPr>
        <sz val="14"/>
        <rFont val="Helvetica"/>
        <family val="2"/>
      </rPr>
      <t>External Remote Services</t>
    </r>
  </si>
  <si>
    <r>
      <t>TA0005</t>
    </r>
    <r>
      <rPr>
        <sz val="14"/>
        <rFont val="Helvetica"/>
        <family val="2"/>
      </rPr>
      <t>: Defense Evasion</t>
    </r>
  </si>
  <si>
    <r>
      <t>T1003.001</t>
    </r>
    <r>
      <rPr>
        <sz val="14"/>
        <rFont val="Helvetica"/>
        <family val="2"/>
      </rPr>
      <t>: LSASS Memory</t>
    </r>
    <r>
      <rPr>
        <b/>
        <sz val="14"/>
        <rFont val="Helvetica"/>
        <family val="2"/>
      </rPr>
      <t xml:space="preserve">
T1552.004: </t>
    </r>
    <r>
      <rPr>
        <sz val="14"/>
        <rFont val="Helvetica"/>
        <family val="2"/>
      </rPr>
      <t>Private Keys</t>
    </r>
  </si>
  <si>
    <t>To disrupt yard block operations, crippling operational capacity of the port</t>
  </si>
  <si>
    <t>Physical attacks carried out by insider (support contractor) on port substations at PPT4,5,6 causing disruption of port operations</t>
  </si>
  <si>
    <r>
      <rPr>
        <b/>
        <sz val="14"/>
        <rFont val="Helvetica"/>
        <family val="2"/>
      </rPr>
      <t>TA0001</t>
    </r>
    <r>
      <rPr>
        <sz val="14"/>
        <rFont val="Helvetica"/>
        <family val="2"/>
      </rPr>
      <t xml:space="preserve">: Initial Access
</t>
    </r>
    <r>
      <rPr>
        <b/>
        <sz val="14"/>
        <rFont val="Helvetica"/>
        <family val="2"/>
      </rPr>
      <t>TA0002</t>
    </r>
    <r>
      <rPr>
        <sz val="14"/>
        <rFont val="Helvetica"/>
        <family val="2"/>
      </rPr>
      <t xml:space="preserve">: Execution
</t>
    </r>
    <r>
      <rPr>
        <b/>
        <sz val="14"/>
        <rFont val="Helvetica"/>
        <family val="2"/>
      </rPr>
      <t>TA0003</t>
    </r>
    <r>
      <rPr>
        <sz val="14"/>
        <rFont val="Helvetica"/>
        <family val="2"/>
      </rPr>
      <t xml:space="preserve">: Persistence
</t>
    </r>
    <r>
      <rPr>
        <b/>
        <sz val="14"/>
        <rFont val="Helvetica"/>
        <family val="2"/>
      </rPr>
      <t>TA0006</t>
    </r>
    <r>
      <rPr>
        <sz val="14"/>
        <rFont val="Helvetica"/>
        <family val="2"/>
      </rPr>
      <t xml:space="preserve">: Credential Access
</t>
    </r>
    <r>
      <rPr>
        <b/>
        <sz val="14"/>
        <rFont val="Helvetica"/>
        <family val="2"/>
      </rPr>
      <t>TA0008</t>
    </r>
    <r>
      <rPr>
        <sz val="14"/>
        <rFont val="Helvetica"/>
        <family val="2"/>
      </rPr>
      <t xml:space="preserve">: Lateral Movement
</t>
    </r>
    <r>
      <rPr>
        <b/>
        <sz val="14"/>
        <rFont val="Helvetica"/>
        <family val="2"/>
      </rPr>
      <t>TA0040</t>
    </r>
    <r>
      <rPr>
        <sz val="14"/>
        <rFont val="Helvetica"/>
        <family val="2"/>
      </rPr>
      <t>: Impact</t>
    </r>
  </si>
  <si>
    <r>
      <rPr>
        <b/>
        <sz val="14"/>
        <rFont val="Helvetica"/>
        <family val="2"/>
      </rPr>
      <t>T1091</t>
    </r>
    <r>
      <rPr>
        <sz val="14"/>
        <rFont val="Helvetica"/>
        <family val="2"/>
      </rPr>
      <t xml:space="preserve">: Replication Through Removable Media
</t>
    </r>
    <r>
      <rPr>
        <b/>
        <sz val="14"/>
        <rFont val="Helvetica"/>
        <family val="2"/>
      </rPr>
      <t>T1199</t>
    </r>
    <r>
      <rPr>
        <sz val="14"/>
        <rFont val="Helvetica"/>
        <family val="2"/>
      </rPr>
      <t xml:space="preserve">: Trusted Relationship
</t>
    </r>
    <r>
      <rPr>
        <b/>
        <sz val="14"/>
        <rFont val="Helvetica"/>
        <family val="2"/>
      </rPr>
      <t>T1059.003</t>
    </r>
    <r>
      <rPr>
        <sz val="14"/>
        <rFont val="Helvetica"/>
        <family val="2"/>
      </rPr>
      <t xml:space="preserve">: Windows Command Shell
</t>
    </r>
    <r>
      <rPr>
        <b/>
        <sz val="14"/>
        <rFont val="Helvetica"/>
        <family val="2"/>
      </rPr>
      <t>T1053.005</t>
    </r>
    <r>
      <rPr>
        <sz val="14"/>
        <rFont val="Helvetica"/>
        <family val="2"/>
      </rPr>
      <t xml:space="preserve">: Scheduled Task
</t>
    </r>
    <r>
      <rPr>
        <b/>
        <sz val="14"/>
        <rFont val="Helvetica"/>
        <family val="2"/>
      </rPr>
      <t>T1555</t>
    </r>
    <r>
      <rPr>
        <sz val="14"/>
        <rFont val="Helvetica"/>
        <family val="2"/>
      </rPr>
      <t xml:space="preserve">: Credentials from Password Stores
</t>
    </r>
    <r>
      <rPr>
        <b/>
        <sz val="14"/>
        <rFont val="Helvetica"/>
        <family val="2"/>
      </rPr>
      <t>T1550.003</t>
    </r>
    <r>
      <rPr>
        <sz val="14"/>
        <rFont val="Helvetica"/>
        <family val="2"/>
      </rPr>
      <t xml:space="preserve">: Pass the Ticket
</t>
    </r>
    <r>
      <rPr>
        <b/>
        <sz val="14"/>
        <rFont val="Helvetica"/>
        <family val="2"/>
      </rPr>
      <t xml:space="preserve">T1565.001: </t>
    </r>
    <r>
      <rPr>
        <sz val="14"/>
        <rFont val="Helvetica"/>
        <family val="2"/>
      </rPr>
      <t>Stored Data Manipulation</t>
    </r>
  </si>
  <si>
    <r>
      <rPr>
        <b/>
        <sz val="14"/>
        <rFont val="Helvetica"/>
        <family val="2"/>
      </rPr>
      <t>TA0001</t>
    </r>
    <r>
      <rPr>
        <sz val="14"/>
        <rFont val="Helvetica"/>
        <family val="2"/>
      </rPr>
      <t>: Initial Access</t>
    </r>
  </si>
  <si>
    <r>
      <rPr>
        <b/>
        <sz val="14"/>
        <rFont val="Helvetica"/>
        <family val="2"/>
      </rPr>
      <t xml:space="preserve">T1133: </t>
    </r>
    <r>
      <rPr>
        <sz val="14"/>
        <rFont val="Helvetica"/>
        <family val="2"/>
      </rPr>
      <t>External Remote Services</t>
    </r>
    <r>
      <rPr>
        <b/>
        <sz val="14"/>
        <rFont val="Helvetica"/>
        <family val="2"/>
      </rPr>
      <t xml:space="preserve">
T1195.002</t>
    </r>
    <r>
      <rPr>
        <sz val="14"/>
        <rFont val="Helvetica"/>
        <family val="2"/>
      </rPr>
      <t>: Compromise Software Supply Chain</t>
    </r>
  </si>
  <si>
    <r>
      <rPr>
        <b/>
        <sz val="14"/>
        <rFont val="Helvetica"/>
        <family val="2"/>
      </rPr>
      <t>TA0002</t>
    </r>
    <r>
      <rPr>
        <sz val="14"/>
        <rFont val="Helvetica"/>
        <family val="2"/>
      </rPr>
      <t>: Execution</t>
    </r>
  </si>
  <si>
    <r>
      <rPr>
        <b/>
        <sz val="14"/>
        <rFont val="Helvetica"/>
        <family val="2"/>
      </rPr>
      <t>T1059.001</t>
    </r>
    <r>
      <rPr>
        <sz val="14"/>
        <rFont val="Helvetica"/>
        <family val="2"/>
      </rPr>
      <t xml:space="preserve">: PowerShell
</t>
    </r>
    <r>
      <rPr>
        <b/>
        <sz val="14"/>
        <rFont val="Helvetica"/>
        <family val="2"/>
      </rPr>
      <t>T1059.006</t>
    </r>
    <r>
      <rPr>
        <sz val="14"/>
        <rFont val="Helvetica"/>
        <family val="2"/>
      </rPr>
      <t>: Python</t>
    </r>
  </si>
  <si>
    <r>
      <rPr>
        <b/>
        <sz val="14"/>
        <rFont val="Helvetica"/>
        <family val="2"/>
      </rPr>
      <t>TA0006</t>
    </r>
    <r>
      <rPr>
        <sz val="14"/>
        <rFont val="Helvetica"/>
        <family val="2"/>
      </rPr>
      <t>: Credential Access</t>
    </r>
  </si>
  <si>
    <r>
      <rPr>
        <b/>
        <sz val="14"/>
        <rFont val="Helvetica"/>
        <family val="2"/>
      </rPr>
      <t>T1003.001</t>
    </r>
    <r>
      <rPr>
        <sz val="14"/>
        <rFont val="Helvetica"/>
        <family val="2"/>
      </rPr>
      <t>: LSASS Memory</t>
    </r>
  </si>
  <si>
    <t>To disrupt PSA’s port operations capacity, disrupting port communications</t>
  </si>
  <si>
    <t>Signal blocker (jammer) used to disrupt port 4G and RF communications with haulier terminals and prime movers</t>
  </si>
  <si>
    <r>
      <t xml:space="preserve">TA0038: </t>
    </r>
    <r>
      <rPr>
        <sz val="14"/>
        <rFont val="Helvetica"/>
        <family val="2"/>
      </rPr>
      <t>Network Effects</t>
    </r>
  </si>
  <si>
    <r>
      <t xml:space="preserve">T1464: </t>
    </r>
    <r>
      <rPr>
        <sz val="14"/>
        <rFont val="Helvetica"/>
        <family val="2"/>
      </rPr>
      <t>Jamming or Denial of Service</t>
    </r>
    <r>
      <rPr>
        <b/>
        <sz val="14"/>
        <rFont val="Helvetica"/>
        <family val="2"/>
      </rPr>
      <t xml:space="preserve">
T1498: </t>
    </r>
    <r>
      <rPr>
        <sz val="14"/>
        <rFont val="Helvetica"/>
        <family val="2"/>
      </rPr>
      <t>Network Denial of Service</t>
    </r>
    <r>
      <rPr>
        <b/>
        <sz val="14"/>
        <rFont val="Helvetica"/>
        <family val="2"/>
      </rPr>
      <t xml:space="preserve">
T1499: </t>
    </r>
    <r>
      <rPr>
        <sz val="14"/>
        <rFont val="Helvetica"/>
        <family val="2"/>
      </rPr>
      <t>Endpoint Denial of Service</t>
    </r>
  </si>
  <si>
    <t>Hauliers and Prime Movers</t>
  </si>
  <si>
    <t>Cell Towers and RF devices</t>
  </si>
  <si>
    <t>To decapitate core operational capabilities of JP for financial gain</t>
  </si>
  <si>
    <t>JP Online</t>
  </si>
  <si>
    <t>JP Online
GBMS
CTMS</t>
  </si>
  <si>
    <t>To cause disruption of JP’s cement terminal, resulting in loss of View and operational impact</t>
  </si>
  <si>
    <t>Compromise cement terminal OT systems (PLCs) to cause temporary loss of View</t>
  </si>
  <si>
    <t>TA0001: Initial Access</t>
  </si>
  <si>
    <r>
      <t xml:space="preserve">T1566.001: </t>
    </r>
    <r>
      <rPr>
        <sz val="14"/>
        <rFont val="Helvetica"/>
        <family val="2"/>
      </rPr>
      <t>Spearphishing Attachment</t>
    </r>
  </si>
  <si>
    <t>Privileged Workstation</t>
  </si>
  <si>
    <r>
      <t xml:space="preserve">T1204.002: </t>
    </r>
    <r>
      <rPr>
        <sz val="14"/>
        <rFont val="Helvetica"/>
        <family val="2"/>
      </rPr>
      <t>Malicious File</t>
    </r>
  </si>
  <si>
    <r>
      <t>T1543.003</t>
    </r>
    <r>
      <rPr>
        <sz val="14"/>
        <rFont val="Helvetica"/>
        <family val="2"/>
      </rPr>
      <t>:</t>
    </r>
    <r>
      <rPr>
        <b/>
        <sz val="14"/>
        <rFont val="Helvetica"/>
        <family val="2"/>
      </rPr>
      <t xml:space="preserve"> </t>
    </r>
    <r>
      <rPr>
        <sz val="14"/>
        <rFont val="Helvetica"/>
        <family val="2"/>
      </rPr>
      <t>Windows Service</t>
    </r>
  </si>
  <si>
    <r>
      <t>T1070.006</t>
    </r>
    <r>
      <rPr>
        <sz val="14"/>
        <rFont val="Helvetica"/>
        <family val="2"/>
      </rPr>
      <t>: Timestomp</t>
    </r>
    <r>
      <rPr>
        <b/>
        <sz val="14"/>
        <rFont val="Helvetica"/>
        <family val="2"/>
      </rPr>
      <t xml:space="preserve">
T1036.004: </t>
    </r>
    <r>
      <rPr>
        <sz val="14"/>
        <rFont val="Helvetica"/>
        <family val="2"/>
      </rPr>
      <t>Masquerade Task or Service</t>
    </r>
  </si>
  <si>
    <r>
      <t>T1003.002</t>
    </r>
    <r>
      <rPr>
        <sz val="14"/>
        <rFont val="Helvetica"/>
        <family val="2"/>
      </rPr>
      <t>: Security Account Manager</t>
    </r>
    <r>
      <rPr>
        <b/>
        <sz val="14"/>
        <rFont val="Helvetica"/>
        <family val="2"/>
      </rPr>
      <t xml:space="preserve">
T1555.004: </t>
    </r>
    <r>
      <rPr>
        <sz val="14"/>
        <rFont val="Helvetica"/>
        <family val="2"/>
      </rPr>
      <t>Windows Credential Manager</t>
    </r>
  </si>
  <si>
    <r>
      <t>T1049</t>
    </r>
    <r>
      <rPr>
        <sz val="14"/>
        <rFont val="Helvetica"/>
        <family val="2"/>
      </rPr>
      <t>: System Network Connections Discovery</t>
    </r>
  </si>
  <si>
    <r>
      <t>T1570</t>
    </r>
    <r>
      <rPr>
        <sz val="14"/>
        <rFont val="Helvetica"/>
        <family val="2"/>
      </rPr>
      <t>: Lateral Tool Transfer</t>
    </r>
    <r>
      <rPr>
        <b/>
        <sz val="14"/>
        <rFont val="Helvetica"/>
        <family val="2"/>
      </rPr>
      <t xml:space="preserve">
T1021.001: </t>
    </r>
    <r>
      <rPr>
        <sz val="14"/>
        <rFont val="Helvetica"/>
        <family val="2"/>
      </rPr>
      <t>Remote Desktop Protocol</t>
    </r>
  </si>
  <si>
    <t>AD Server
Operations Jump Host
Cement Operations Servers/Systems</t>
  </si>
  <si>
    <t>Cement Flow System</t>
  </si>
  <si>
    <t>To degrade operational capacity at Jurong Port, disrupting the flow of traffic to and from the port</t>
  </si>
  <si>
    <t>Disruption of the Jurong Port gate operations through Logic Bombs deployed on the biometric authentication systems</t>
  </si>
  <si>
    <r>
      <t xml:space="preserve">TA0001: </t>
    </r>
    <r>
      <rPr>
        <sz val="14"/>
        <color rgb="FF000000"/>
        <rFont val="Helvetica"/>
        <family val="2"/>
      </rPr>
      <t>Initial Access</t>
    </r>
    <r>
      <rPr>
        <b/>
        <sz val="14"/>
        <color rgb="FF000000"/>
        <rFont val="Helvetica"/>
        <family val="2"/>
      </rPr>
      <t xml:space="preserve">
TA0002: </t>
    </r>
    <r>
      <rPr>
        <sz val="14"/>
        <color rgb="FF000000"/>
        <rFont val="Helvetica"/>
        <family val="2"/>
      </rPr>
      <t>Execution</t>
    </r>
    <r>
      <rPr>
        <b/>
        <sz val="14"/>
        <color rgb="FF000000"/>
        <rFont val="Helvetica"/>
        <family val="2"/>
      </rPr>
      <t xml:space="preserve">
TA0004: </t>
    </r>
    <r>
      <rPr>
        <sz val="14"/>
        <color rgb="FF000000"/>
        <rFont val="Helvetica"/>
        <family val="2"/>
      </rPr>
      <t>Privilege Escalation</t>
    </r>
    <r>
      <rPr>
        <b/>
        <sz val="14"/>
        <color rgb="FF000000"/>
        <rFont val="Helvetica"/>
        <family val="2"/>
      </rPr>
      <t xml:space="preserve">
TA0006: </t>
    </r>
    <r>
      <rPr>
        <sz val="14"/>
        <color rgb="FF000000"/>
        <rFont val="Helvetica"/>
        <family val="2"/>
      </rPr>
      <t>Credential Access</t>
    </r>
    <r>
      <rPr>
        <b/>
        <sz val="14"/>
        <color rgb="FF000000"/>
        <rFont val="Helvetica"/>
        <family val="2"/>
      </rPr>
      <t xml:space="preserve">
TA0007</t>
    </r>
    <r>
      <rPr>
        <sz val="14"/>
        <color rgb="FF000000"/>
        <rFont val="Helvetica"/>
        <family val="2"/>
      </rPr>
      <t>: Discovery</t>
    </r>
    <r>
      <rPr>
        <b/>
        <sz val="14"/>
        <color rgb="FF000000"/>
        <rFont val="Helvetica"/>
        <family val="2"/>
      </rPr>
      <t xml:space="preserve">
TA0008: </t>
    </r>
    <r>
      <rPr>
        <sz val="14"/>
        <color rgb="FF000000"/>
        <rFont val="Helvetica"/>
        <family val="2"/>
      </rPr>
      <t>Lateral Movement</t>
    </r>
    <r>
      <rPr>
        <b/>
        <sz val="14"/>
        <color rgb="FF000000"/>
        <rFont val="Helvetica"/>
        <family val="2"/>
      </rPr>
      <t xml:space="preserve">
TA0011: </t>
    </r>
    <r>
      <rPr>
        <sz val="14"/>
        <color rgb="FF000000"/>
        <rFont val="Helvetica"/>
        <family val="2"/>
      </rPr>
      <t>Command and Control</t>
    </r>
    <r>
      <rPr>
        <b/>
        <sz val="14"/>
        <color rgb="FF000000"/>
        <rFont val="Helvetica"/>
        <family val="2"/>
      </rPr>
      <t xml:space="preserve">
TA0040: </t>
    </r>
    <r>
      <rPr>
        <sz val="14"/>
        <color rgb="FF000000"/>
        <rFont val="Helvetica"/>
        <family val="2"/>
      </rPr>
      <t>Impact</t>
    </r>
  </si>
  <si>
    <r>
      <t xml:space="preserve">T1566.002: </t>
    </r>
    <r>
      <rPr>
        <sz val="14"/>
        <color rgb="FF000000"/>
        <rFont val="Helvetica"/>
        <family val="2"/>
      </rPr>
      <t>Spearphishing Link</t>
    </r>
    <r>
      <rPr>
        <b/>
        <sz val="14"/>
        <color rgb="FF000000"/>
        <rFont val="Helvetica"/>
        <family val="2"/>
      </rPr>
      <t xml:space="preserve">
T1204.001: </t>
    </r>
    <r>
      <rPr>
        <sz val="14"/>
        <color rgb="FF000000"/>
        <rFont val="Helvetica"/>
        <family val="2"/>
      </rPr>
      <t>User Execution - Malicious Link</t>
    </r>
    <r>
      <rPr>
        <b/>
        <sz val="14"/>
        <color rgb="FF000000"/>
        <rFont val="Helvetica"/>
        <family val="2"/>
      </rPr>
      <t xml:space="preserve">
T1543.003: </t>
    </r>
    <r>
      <rPr>
        <sz val="14"/>
        <color rgb="FF000000"/>
        <rFont val="Helvetica"/>
        <family val="2"/>
      </rPr>
      <t>Windows Service</t>
    </r>
    <r>
      <rPr>
        <b/>
        <sz val="14"/>
        <color rgb="FF000000"/>
        <rFont val="Helvetica"/>
        <family val="2"/>
      </rPr>
      <t xml:space="preserve">
T1003.001: </t>
    </r>
    <r>
      <rPr>
        <sz val="14"/>
        <color rgb="FF000000"/>
        <rFont val="Helvetica"/>
        <family val="2"/>
      </rPr>
      <t>LSASS Memory</t>
    </r>
    <r>
      <rPr>
        <b/>
        <sz val="14"/>
        <color rgb="FF000000"/>
        <rFont val="Helvetica"/>
        <family val="2"/>
      </rPr>
      <t xml:space="preserve">
T1083: </t>
    </r>
    <r>
      <rPr>
        <sz val="14"/>
        <color rgb="FF000000"/>
        <rFont val="Helvetica"/>
        <family val="2"/>
      </rPr>
      <t>File and Directory Discovery</t>
    </r>
    <r>
      <rPr>
        <b/>
        <sz val="14"/>
        <color rgb="FF000000"/>
        <rFont val="Helvetica"/>
        <family val="2"/>
      </rPr>
      <t xml:space="preserve">
T1021.002: </t>
    </r>
    <r>
      <rPr>
        <sz val="14"/>
        <color rgb="FF000000"/>
        <rFont val="Helvetica"/>
        <family val="2"/>
      </rPr>
      <t>SMB/Windows Admin Shares</t>
    </r>
    <r>
      <rPr>
        <b/>
        <sz val="14"/>
        <color rgb="FF000000"/>
        <rFont val="Helvetica"/>
        <family val="2"/>
      </rPr>
      <t xml:space="preserve">
T1105: </t>
    </r>
    <r>
      <rPr>
        <sz val="14"/>
        <color rgb="FF000000"/>
        <rFont val="Helvetica"/>
        <family val="2"/>
      </rPr>
      <t>Ingress Tool Transfer</t>
    </r>
    <r>
      <rPr>
        <b/>
        <sz val="14"/>
        <color rgb="FF000000"/>
        <rFont val="Helvetica"/>
        <family val="2"/>
      </rPr>
      <t xml:space="preserve">
T1071.001: </t>
    </r>
    <r>
      <rPr>
        <sz val="14"/>
        <color rgb="FF000000"/>
        <rFont val="Helvetica"/>
        <family val="2"/>
      </rPr>
      <t>Web Protocols</t>
    </r>
    <r>
      <rPr>
        <b/>
        <sz val="14"/>
        <color rgb="FF000000"/>
        <rFont val="Helvetica"/>
        <family val="2"/>
      </rPr>
      <t xml:space="preserve">
T1565.001: </t>
    </r>
    <r>
      <rPr>
        <sz val="14"/>
        <color rgb="FF000000"/>
        <rFont val="Helvetica"/>
        <family val="2"/>
      </rPr>
      <t>Stored Data Manipulation</t>
    </r>
  </si>
  <si>
    <t>Email Systems
User Workstation
Corporate Servers
VPX-II Code Repositories</t>
  </si>
  <si>
    <t>Techsphere</t>
  </si>
  <si>
    <r>
      <t xml:space="preserve">T1489: </t>
    </r>
    <r>
      <rPr>
        <sz val="14"/>
        <color rgb="FF000000"/>
        <rFont val="Helvetica"/>
        <family val="2"/>
      </rPr>
      <t>Service Stop</t>
    </r>
    <r>
      <rPr>
        <b/>
        <sz val="14"/>
        <color rgb="FF000000"/>
        <rFont val="Helvetica"/>
        <family val="2"/>
      </rPr>
      <t xml:space="preserve">
T1490: </t>
    </r>
    <r>
      <rPr>
        <sz val="14"/>
        <color rgb="FF000000"/>
        <rFont val="Helvetica"/>
        <family val="2"/>
      </rPr>
      <t>Inhibit System Recovery</t>
    </r>
  </si>
  <si>
    <t>Gate Systems</t>
  </si>
  <si>
    <t>To disrupt access to the JP Online application leading to operational incapacitation</t>
  </si>
  <si>
    <t>Denial of Service attack carried out against JP Online</t>
  </si>
  <si>
    <r>
      <t xml:space="preserve">T1595.002: </t>
    </r>
    <r>
      <rPr>
        <sz val="14"/>
        <rFont val="Helvetica"/>
        <family val="2"/>
      </rPr>
      <t>Vulnerability Scanning</t>
    </r>
    <r>
      <rPr>
        <b/>
        <sz val="14"/>
        <rFont val="Helvetica"/>
        <family val="2"/>
      </rPr>
      <t xml:space="preserve">
T1595.001: </t>
    </r>
    <r>
      <rPr>
        <sz val="14"/>
        <rFont val="Helvetica"/>
        <family val="2"/>
      </rPr>
      <t>Scanning IP Blocks</t>
    </r>
  </si>
  <si>
    <t>Jurong Port</t>
  </si>
  <si>
    <t>To disrupt normal port operations by injecting malware into 5G supporting infrastructure affecting the QOS management, handover control and/or load balancing.</t>
  </si>
  <si>
    <t>Denial of service attack on 5G infrastructure used for Port operations</t>
  </si>
  <si>
    <t>TA0001 Initial Access</t>
  </si>
  <si>
    <t>T1199 Trusted Relationship</t>
  </si>
  <si>
    <t>TA0008 Lateral Movement</t>
  </si>
  <si>
    <t>TA0040 Impact</t>
  </si>
  <si>
    <t>T1496 Resource Hijacking</t>
  </si>
  <si>
    <t>TA0042 Resource Development</t>
  </si>
  <si>
    <t>T1583 Acquire Infrastructure</t>
  </si>
  <si>
    <t>T1566 Phishing
T1199 Trusted Relationship</t>
  </si>
  <si>
    <t>To decapitate core operational capabilities of PSA’s oil and gas business for financial gain</t>
  </si>
  <si>
    <t>Server infrastructure supporting oil and gas business infected by Ransomware</t>
  </si>
  <si>
    <t>T1566 Phishing</t>
  </si>
  <si>
    <t xml:space="preserve">TA0002 Execution	</t>
  </si>
  <si>
    <t>T1021 Remote Services</t>
  </si>
  <si>
    <t>TA0009 Collection</t>
  </si>
  <si>
    <t>TA0011 Command and Control</t>
  </si>
  <si>
    <t>T1573 Encrypted Channel</t>
  </si>
  <si>
    <t>TA0010 Exfiltration</t>
  </si>
  <si>
    <t>T1041 Exfiltration over C2 Channel</t>
  </si>
  <si>
    <t xml:space="preserve">TA0040 Impact	</t>
  </si>
  <si>
    <t>T1486 Data Ecrypted for impact</t>
  </si>
  <si>
    <t>Preferred</t>
  </si>
  <si>
    <t>Dry run</t>
  </si>
  <si>
    <t>Bridging</t>
  </si>
  <si>
    <t>Targeted Organisations</t>
  </si>
  <si>
    <t>JS44</t>
  </si>
  <si>
    <t>MPA, PSA, PIL</t>
  </si>
  <si>
    <t>MPA, PSA, JP, PIL</t>
  </si>
  <si>
    <t>IMPACT</t>
  </si>
  <si>
    <t>TARGET</t>
  </si>
  <si>
    <t>SCENARIO</t>
  </si>
  <si>
    <t>THREAT ACTOR</t>
  </si>
  <si>
    <t>ATTACK SOPN.</t>
  </si>
  <si>
    <t>VECTOR</t>
  </si>
  <si>
    <t>WIDESPREAD DISRUPTION</t>
  </si>
  <si>
    <t>LOSS OF SENSITIVE DATA</t>
  </si>
  <si>
    <t>TAMPERING OF DATA</t>
  </si>
  <si>
    <t>UNDERMINE REPUTATION</t>
  </si>
  <si>
    <t>SPILLOVER TO SECTOR</t>
  </si>
  <si>
    <t>CYBER-PHYSICAL</t>
  </si>
  <si>
    <t>WEBSITE DEFACEMENT</t>
  </si>
  <si>
    <t>PHULU</t>
  </si>
  <si>
    <t>RANSOM</t>
  </si>
  <si>
    <t>SCM</t>
  </si>
  <si>
    <t>RANSOM, DATA LEAK</t>
  </si>
  <si>
    <t>SUPPLY CHAIN C-SCOPE</t>
  </si>
  <si>
    <t>OT</t>
  </si>
  <si>
    <t>SIGNAL BLOCKER</t>
  </si>
  <si>
    <t>DOS</t>
  </si>
  <si>
    <t>Selected Scenarios</t>
  </si>
  <si>
    <t>Threat Actors</t>
  </si>
  <si>
    <t>Day</t>
  </si>
  <si>
    <t>Consolidated</t>
  </si>
  <si>
    <t>Attack Sophn</t>
  </si>
  <si>
    <t>Threat objective</t>
  </si>
  <si>
    <t>Threat summary</t>
  </si>
  <si>
    <t>Targeted Org</t>
  </si>
  <si>
    <t>S/N</t>
  </si>
  <si>
    <t>Inject ID</t>
  </si>
  <si>
    <t>Inject Type</t>
  </si>
  <si>
    <t>Real Day</t>
  </si>
  <si>
    <t>Real Time</t>
  </si>
  <si>
    <t>Inject/Sequence</t>
  </si>
  <si>
    <t>Sce. #</t>
  </si>
  <si>
    <t>From</t>
  </si>
  <si>
    <t>To</t>
  </si>
  <si>
    <t>Threat Actor</t>
  </si>
  <si>
    <t>TTPs</t>
  </si>
  <si>
    <t>Impact</t>
  </si>
  <si>
    <t>Scenario Correlation</t>
  </si>
  <si>
    <t>Notes</t>
  </si>
  <si>
    <t>AD</t>
  </si>
  <si>
    <t>10h15</t>
  </si>
  <si>
    <t>-</t>
  </si>
  <si>
    <t>Sabotage to undermine public confidence</t>
  </si>
  <si>
    <t>IM</t>
  </si>
  <si>
    <t>AL</t>
  </si>
  <si>
    <t>10h30</t>
  </si>
  <si>
    <t>MPA Contact Centre</t>
  </si>
  <si>
    <t>T1491.002: External Defacement</t>
  </si>
  <si>
    <t>T1203: Exploitation for Client Execution</t>
  </si>
  <si>
    <t>CO</t>
  </si>
  <si>
    <t>11h00</t>
  </si>
  <si>
    <t>11h30</t>
  </si>
  <si>
    <t>AAR</t>
  </si>
  <si>
    <t>0-1-0</t>
  </si>
  <si>
    <t>NA</t>
  </si>
  <si>
    <t>Exercise Control</t>
  </si>
  <si>
    <t>Widespread CII disruption
Loss of Sensitive Data
Tempering or Snooping of Sensitive Data
Sabotage to undermine public confidence</t>
  </si>
  <si>
    <t>Widespread CII disruption
Loss of Sensitive Data
Sabotage to undermine public confidence</t>
  </si>
  <si>
    <t>JP IT Helpdesk</t>
  </si>
  <si>
    <t>JP Head of IT</t>
  </si>
  <si>
    <t>T1486: Data Encrypted for Impact</t>
  </si>
  <si>
    <t>PSA Helpdesk</t>
  </si>
  <si>
    <t>JP Head of IT, JP CISO</t>
  </si>
  <si>
    <t>Add number of systems impacted in the organization. Gradually increase the number as injects come in</t>
  </si>
  <si>
    <t>JP Helpdesk, JP Head of Corporate Communications, JP Head of IT, JP CISO</t>
  </si>
  <si>
    <t>LUNCH BREAK</t>
  </si>
  <si>
    <t>13h30</t>
  </si>
  <si>
    <t>14h00</t>
  </si>
  <si>
    <t>14h30</t>
  </si>
  <si>
    <t>T1133: External Remote Services
T1195.002: Compromise Software Supply Chain</t>
  </si>
  <si>
    <t>15h00</t>
  </si>
  <si>
    <t>C-Scope</t>
  </si>
  <si>
    <t>T1489: Service Stop
T1529: System Shutdown/Reboot
T1490: Inhibit System Recovery</t>
  </si>
  <si>
    <t>Widespread CII disruption
Sabotage to undermine public confidence
Breach leading to sectoral implications
Cyber-physical impact</t>
  </si>
  <si>
    <t>17h00</t>
  </si>
  <si>
    <t>END OF DAY 1</t>
  </si>
  <si>
    <t>T1005: Data from Local System
T1041: Exfiltration Over C2 Channel</t>
  </si>
  <si>
    <t>POCC Supervisor</t>
  </si>
  <si>
    <t>The attack will occur in tandem with the campaign against PSA, as a way to distract and establish an extended foothold across key port organizations, for the purposes of steering cargo away from the port of Singapore</t>
  </si>
  <si>
    <t>T1190: Exploit Public-Facing Application</t>
  </si>
  <si>
    <t>11h20</t>
  </si>
  <si>
    <t>T1588.002: Obtain Capabilities - Tool
T1195.002: Compromise Software Supply Chain</t>
  </si>
  <si>
    <t>END OF WARGAMING EXERCISE</t>
  </si>
  <si>
    <t>08-Oct
(DRY RUN)</t>
  </si>
  <si>
    <t>AM - ATTACK SOPN=2</t>
  </si>
  <si>
    <t>DDOS</t>
  </si>
  <si>
    <t>REPUTATION</t>
  </si>
  <si>
    <t>ABILITY TO BROADCAST NEWS AND CIRCULARS</t>
  </si>
  <si>
    <t>LOST OF COMMUNICTIAON WITH HAULIERS AND PRIME MOVERS</t>
  </si>
  <si>
    <t>PM - ATTACK SOPN=3</t>
  </si>
  <si>
    <t>NO. OF SCENARIOS/ENTITY</t>
  </si>
  <si>
    <t>PREFERRED</t>
  </si>
  <si>
    <t>ADDED</t>
  </si>
  <si>
    <t>DNS POISIONING</t>
  </si>
  <si>
    <t>LOST OF C&amp;C</t>
  </si>
  <si>
    <t>DATA THEFT</t>
  </si>
  <si>
    <t>AM - ATTACK SOPN=3</t>
  </si>
  <si>
    <t>GATE SYSTEMS</t>
  </si>
  <si>
    <t>NAVAL ACCIDENT</t>
  </si>
  <si>
    <t>ILLEGAL TRAFFICKING</t>
  </si>
  <si>
    <t>INJURY</t>
  </si>
  <si>
    <t>CMG</t>
  </si>
  <si>
    <t>EVENT</t>
  </si>
  <si>
    <t>AM - ATTACK SOPN=1</t>
  </si>
  <si>
    <t>PM - ATTACK SOPN=0</t>
  </si>
  <si>
    <t>PHULU + JS44</t>
  </si>
  <si>
    <t>DATA LEAK</t>
  </si>
  <si>
    <t>SERVICE DOWN</t>
  </si>
  <si>
    <t>VIPB</t>
  </si>
  <si>
    <t>MMC</t>
  </si>
  <si>
    <r>
      <t xml:space="preserve">1. First appearance of a scenario denotes the start of that scenario. Subsequent appearnace dentoes continuation of that scenario.
2. </t>
    </r>
    <r>
      <rPr>
        <b/>
        <sz val="12"/>
        <color rgb="FF0070C0"/>
        <rFont val="Helvetica"/>
        <family val="2"/>
      </rPr>
      <t>BOLD</t>
    </r>
    <r>
      <rPr>
        <b/>
        <sz val="12"/>
        <color theme="1"/>
        <rFont val="Helvetica"/>
        <family val="2"/>
      </rPr>
      <t xml:space="preserve"> </t>
    </r>
    <r>
      <rPr>
        <sz val="12"/>
        <color theme="1"/>
        <rFont val="Helvetica"/>
        <family val="2"/>
      </rPr>
      <t xml:space="preserve">= Not preferred. Inserted to enrich campaign. </t>
    </r>
  </si>
  <si>
    <t>Scamming involving impersonation of MPA associated with PII</t>
  </si>
  <si>
    <t>Scam</t>
  </si>
  <si>
    <t>T1587: Develop Capabilities</t>
  </si>
  <si>
    <r>
      <t xml:space="preserve">TA0042: </t>
    </r>
    <r>
      <rPr>
        <sz val="14"/>
        <color rgb="FF000000"/>
        <rFont val="Helvetica"/>
        <family val="2"/>
      </rPr>
      <t>Resource Development</t>
    </r>
  </si>
  <si>
    <t>T1546: Event Triggered Execution</t>
  </si>
  <si>
    <t>T1561: Disk Wipe</t>
  </si>
  <si>
    <t>T1059: Command and Scripting Interpreter</t>
  </si>
  <si>
    <t>T1574: Hijack Execution Flow</t>
  </si>
  <si>
    <t>TA0003: Persistence</t>
  </si>
  <si>
    <r>
      <t xml:space="preserve">TA0004: </t>
    </r>
    <r>
      <rPr>
        <sz val="14"/>
        <rFont val="Helvetica"/>
        <family val="2"/>
      </rPr>
      <t>Privilege Escalation</t>
    </r>
  </si>
  <si>
    <t>T1055: Process Injection</t>
  </si>
  <si>
    <t>T1106: Native API</t>
  </si>
  <si>
    <t>TA0002: Execution</t>
  </si>
  <si>
    <t>Automatic Identification System</t>
  </si>
  <si>
    <t>digitalPort@SG™ (log4j)</t>
  </si>
  <si>
    <r>
      <t xml:space="preserve">TA0002: </t>
    </r>
    <r>
      <rPr>
        <sz val="14"/>
        <rFont val="Helvetica"/>
        <family val="2"/>
      </rPr>
      <t>Execution</t>
    </r>
  </si>
  <si>
    <r>
      <t xml:space="preserve">T1053: </t>
    </r>
    <r>
      <rPr>
        <sz val="14"/>
        <rFont val="Helvetica"/>
        <family val="2"/>
      </rPr>
      <t>Scheduled Task/Job</t>
    </r>
  </si>
  <si>
    <t>TA0043 Reconnaissance</t>
  </si>
  <si>
    <t>PSA yard substations</t>
  </si>
  <si>
    <t>Public</t>
  </si>
  <si>
    <t>Nil</t>
  </si>
  <si>
    <t>JPTT IT Network</t>
  </si>
  <si>
    <t>T1213 Data from information repositories
T1005 Data from local system
T1039 Data from network shared drive</t>
  </si>
  <si>
    <t>Email message format, MS Exchange Server</t>
  </si>
  <si>
    <r>
      <t xml:space="preserve">TA0005: </t>
    </r>
    <r>
      <rPr>
        <sz val="14"/>
        <rFont val="Helvetica"/>
        <family val="2"/>
      </rPr>
      <t>Defense Evasion</t>
    </r>
  </si>
  <si>
    <t>T1027.001: Obfuscated Files or Information: Binary Padding</t>
  </si>
  <si>
    <t>User Workstation, MS Exchange Server</t>
  </si>
  <si>
    <r>
      <t xml:space="preserve">T1195.002: </t>
    </r>
    <r>
      <rPr>
        <sz val="14"/>
        <rFont val="Helvetica"/>
        <family val="2"/>
      </rPr>
      <t>Compromise Software Supply Chain</t>
    </r>
    <r>
      <rPr>
        <b/>
        <sz val="14"/>
        <rFont val="Helvetica"/>
        <family val="2"/>
      </rPr>
      <t xml:space="preserve">
T1133: </t>
    </r>
    <r>
      <rPr>
        <sz val="14"/>
        <rFont val="Helvetica"/>
        <family val="2"/>
      </rPr>
      <t>External Remote Services</t>
    </r>
  </si>
  <si>
    <r>
      <rPr>
        <b/>
        <sz val="14"/>
        <color theme="1"/>
        <rFont val="Helvetica"/>
        <family val="2"/>
      </rPr>
      <t>TA0005</t>
    </r>
    <r>
      <rPr>
        <sz val="14"/>
        <color theme="1"/>
        <rFont val="Helvetica"/>
        <family val="2"/>
      </rPr>
      <t>: Defense Evasion</t>
    </r>
  </si>
  <si>
    <r>
      <rPr>
        <b/>
        <sz val="14"/>
        <color theme="1"/>
        <rFont val="Helvetica"/>
        <family val="2"/>
      </rPr>
      <t>T1027.002</t>
    </r>
    <r>
      <rPr>
        <sz val="14"/>
        <color theme="1"/>
        <rFont val="Helvetica"/>
        <family val="2"/>
      </rPr>
      <t>: Software Packing</t>
    </r>
  </si>
  <si>
    <r>
      <t xml:space="preserve">T1550.001: </t>
    </r>
    <r>
      <rPr>
        <sz val="14"/>
        <rFont val="Helvetica"/>
        <family val="2"/>
      </rPr>
      <t>Application Access Token</t>
    </r>
  </si>
  <si>
    <r>
      <t xml:space="preserve">T1041: </t>
    </r>
    <r>
      <rPr>
        <sz val="14"/>
        <rFont val="Helvetica"/>
        <family val="2"/>
      </rPr>
      <t>Exfiltration Over C2 Channel</t>
    </r>
  </si>
  <si>
    <r>
      <t xml:space="preserve">TA0010: </t>
    </r>
    <r>
      <rPr>
        <sz val="14"/>
        <rFont val="Helvetica"/>
        <family val="2"/>
      </rPr>
      <t>Exfiltration</t>
    </r>
  </si>
  <si>
    <r>
      <t xml:space="preserve">T1486: </t>
    </r>
    <r>
      <rPr>
        <sz val="14"/>
        <rFont val="Helvetica"/>
        <family val="2"/>
      </rPr>
      <t>Data Encrypted for Impact</t>
    </r>
  </si>
  <si>
    <t>Dalian code repository</t>
  </si>
  <si>
    <r>
      <rPr>
        <b/>
        <sz val="14"/>
        <color theme="1"/>
        <rFont val="Helvetica"/>
        <family val="2"/>
      </rPr>
      <t>T1496</t>
    </r>
    <r>
      <rPr>
        <sz val="14"/>
        <color theme="1"/>
        <rFont val="Helvetica"/>
        <family val="2"/>
      </rPr>
      <t>: Resource Hijacking</t>
    </r>
  </si>
  <si>
    <t>Initial compromise of shipping line email systems. Shipping line unable to transact with Portnet® due to unavailability of their systems and requires PSA and MPA to trigger their manual processes</t>
  </si>
  <si>
    <t>Portnet®</t>
  </si>
  <si>
    <r>
      <t>digitalPort @ SG™
PTMS
Portnet</t>
    </r>
    <r>
      <rPr>
        <vertAlign val="superscript"/>
        <sz val="14"/>
        <rFont val="Helvetica"/>
        <family val="2"/>
      </rPr>
      <t>®</t>
    </r>
    <r>
      <rPr>
        <sz val="14"/>
        <rFont val="Helvetica"/>
        <family val="2"/>
      </rPr>
      <t xml:space="preserve">
JP Online</t>
    </r>
  </si>
  <si>
    <r>
      <t>Supply Chain Compromise of CrimsonLogic leading to the introduction of a backdoor in the Portnet</t>
    </r>
    <r>
      <rPr>
        <vertAlign val="superscript"/>
        <sz val="14"/>
        <color rgb="FF000000"/>
        <rFont val="Helvetica"/>
        <family val="2"/>
      </rPr>
      <t>®</t>
    </r>
    <r>
      <rPr>
        <sz val="14"/>
        <color rgb="FF000000"/>
        <rFont val="Helvetica"/>
        <family val="2"/>
      </rPr>
      <t xml:space="preserve"> application and resulting in Data Theft and Ransomware</t>
    </r>
  </si>
  <si>
    <r>
      <t>Codebase of Portnet</t>
    </r>
    <r>
      <rPr>
        <vertAlign val="superscript"/>
        <sz val="14"/>
        <rFont val="Helvetica"/>
        <family val="2"/>
      </rPr>
      <t>®</t>
    </r>
    <r>
      <rPr>
        <sz val="14"/>
        <rFont val="Helvetica"/>
        <family val="2"/>
      </rPr>
      <t xml:space="preserve"> Application held by CrimsonLogic</t>
    </r>
  </si>
  <si>
    <r>
      <t>Portnet</t>
    </r>
    <r>
      <rPr>
        <vertAlign val="superscript"/>
        <sz val="14"/>
        <rFont val="Helvetica"/>
        <family val="2"/>
      </rPr>
      <t>®</t>
    </r>
    <r>
      <rPr>
        <sz val="14"/>
        <rFont val="Helvetica"/>
        <family val="2"/>
      </rPr>
      <t xml:space="preserve"> Servers</t>
    </r>
  </si>
  <si>
    <r>
      <t>Portnet</t>
    </r>
    <r>
      <rPr>
        <vertAlign val="superscript"/>
        <sz val="14"/>
        <rFont val="Helvetica"/>
        <family val="2"/>
      </rPr>
      <t>®</t>
    </r>
  </si>
  <si>
    <r>
      <t>Portnet</t>
    </r>
    <r>
      <rPr>
        <vertAlign val="superscript"/>
        <sz val="14"/>
        <rFont val="Helvetica"/>
        <family val="2"/>
      </rPr>
      <t>®</t>
    </r>
    <r>
      <rPr>
        <sz val="14"/>
        <rFont val="Helvetica"/>
        <family val="2"/>
      </rPr>
      <t xml:space="preserve">
CITOS</t>
    </r>
    <r>
      <rPr>
        <vertAlign val="superscript"/>
        <sz val="14"/>
        <rFont val="Helvetica"/>
        <family val="2"/>
      </rPr>
      <t>®</t>
    </r>
    <r>
      <rPr>
        <sz val="14"/>
        <rFont val="Helvetica"/>
        <family val="2"/>
      </rPr>
      <t xml:space="preserve">
TOS</t>
    </r>
    <r>
      <rPr>
        <vertAlign val="superscript"/>
        <sz val="14"/>
        <rFont val="Helvetica"/>
        <family val="2"/>
      </rPr>
      <t>®</t>
    </r>
  </si>
  <si>
    <r>
      <t>Portnet</t>
    </r>
    <r>
      <rPr>
        <vertAlign val="superscript"/>
        <sz val="14"/>
        <rFont val="Helvetica"/>
        <family val="2"/>
      </rPr>
      <t>®</t>
    </r>
    <r>
      <rPr>
        <sz val="14"/>
        <rFont val="Helvetica"/>
        <family val="2"/>
      </rPr>
      <t>, TOS</t>
    </r>
    <r>
      <rPr>
        <vertAlign val="superscript"/>
        <sz val="14"/>
        <rFont val="Helvetica"/>
        <family val="2"/>
      </rPr>
      <t>®</t>
    </r>
  </si>
  <si>
    <t>Web Application compromise on JP Online application leading to Data Leak and Wiperware</t>
  </si>
  <si>
    <r>
      <t xml:space="preserve">T1588.002: </t>
    </r>
    <r>
      <rPr>
        <sz val="14"/>
        <rFont val="Helvetica"/>
        <family val="2"/>
      </rPr>
      <t>Tool</t>
    </r>
  </si>
  <si>
    <r>
      <t xml:space="preserve">T1569: </t>
    </r>
    <r>
      <rPr>
        <sz val="14"/>
        <rFont val="Helvetica"/>
        <family val="2"/>
      </rPr>
      <t>System Services</t>
    </r>
  </si>
  <si>
    <r>
      <t xml:space="preserve">T1548.002: </t>
    </r>
    <r>
      <rPr>
        <sz val="14"/>
        <rFont val="Helvetica"/>
        <family val="2"/>
      </rPr>
      <t>Bypass User Account Control</t>
    </r>
  </si>
  <si>
    <r>
      <t xml:space="preserve">T1055.012: </t>
    </r>
    <r>
      <rPr>
        <sz val="14"/>
        <rFont val="Helvetica"/>
        <family val="2"/>
      </rPr>
      <t>Process Hollowing</t>
    </r>
  </si>
  <si>
    <r>
      <t xml:space="preserve">T1040: </t>
    </r>
    <r>
      <rPr>
        <sz val="14"/>
        <rFont val="Helvetica"/>
        <family val="2"/>
      </rPr>
      <t>Network Sniffing</t>
    </r>
  </si>
  <si>
    <r>
      <t xml:space="preserve">T1210: </t>
    </r>
    <r>
      <rPr>
        <sz val="14"/>
        <rFont val="Helvetica"/>
        <family val="2"/>
      </rPr>
      <t>Exploitation of Remote Services</t>
    </r>
    <r>
      <rPr>
        <b/>
        <sz val="14"/>
        <rFont val="Helvetica"/>
        <family val="2"/>
      </rPr>
      <t xml:space="preserve">
T1021.004: </t>
    </r>
    <r>
      <rPr>
        <sz val="14"/>
        <rFont val="Helvetica"/>
        <family val="2"/>
      </rPr>
      <t>SSH</t>
    </r>
  </si>
  <si>
    <r>
      <t xml:space="preserve">T1560.001: </t>
    </r>
    <r>
      <rPr>
        <sz val="14"/>
        <rFont val="Helvetica"/>
        <family val="2"/>
      </rPr>
      <t>Archive via Utility</t>
    </r>
  </si>
  <si>
    <r>
      <t>T1048.002:</t>
    </r>
    <r>
      <rPr>
        <sz val="14"/>
        <rFont val="Helvetica"/>
        <family val="2"/>
      </rPr>
      <t xml:space="preserve"> Exfiltration Over Asymmetric Encrypted Non-C2 Protocol</t>
    </r>
  </si>
  <si>
    <r>
      <t xml:space="preserve">T1498: </t>
    </r>
    <r>
      <rPr>
        <sz val="14"/>
        <rFont val="Helvetica"/>
        <family val="2"/>
      </rPr>
      <t>Network Denial of Service</t>
    </r>
  </si>
  <si>
    <r>
      <t xml:space="preserve">TA0040: </t>
    </r>
    <r>
      <rPr>
        <sz val="14"/>
        <rFont val="Helvetica"/>
        <family val="2"/>
      </rPr>
      <t>Impact</t>
    </r>
  </si>
  <si>
    <t>T1591.001 Gather Victim Org Information: Determine Physical Locations</t>
  </si>
  <si>
    <t>T1204.002: Malicious File</t>
  </si>
  <si>
    <t>Phishing Campaign on MPA’s corporate IT environment leading to a Wiperware infection</t>
  </si>
  <si>
    <t>To decapitate operational capabilities of MPA in engaging customers, partners and the public.</t>
  </si>
  <si>
    <t>Day 1</t>
  </si>
  <si>
    <t>T1190: Exploit Public-Facing Application
T1059: Command and Scripting Interpreter
T1574: Hijack Execution Flow
T1055: Process Injection</t>
  </si>
  <si>
    <t>T1595.002: Vulnerability Scanning</t>
  </si>
  <si>
    <t>T1003.001: LSASS Memory
T1552.004: Private Keys
T1550.001: Application Access Token
T1486: Data Encrypted for Impact</t>
  </si>
  <si>
    <t>T1550.001: Application Access Token</t>
  </si>
  <si>
    <t>T1595.002: Vulnerability Scanning
T1588.002: Tool</t>
  </si>
  <si>
    <t>T1106: Native API
T1498: Network Denial of Service</t>
  </si>
  <si>
    <t>T1588.002: Obtain Capabilities - Tool
T1195.002: Compromise Software Supply Chain
T1199: Trusted Relationship
T1053: Scheduled Task/Job
T1092: Communication Through Removable Media</t>
  </si>
  <si>
    <t>JP CISO</t>
  </si>
  <si>
    <t>USB thumb drive found by contractor in the C-Scope infrastructure</t>
  </si>
  <si>
    <t>PSA Media Officer</t>
  </si>
  <si>
    <t>PSA Head of Cyber Security</t>
  </si>
  <si>
    <t xml:space="preserve">PORTNET® Systems Owner </t>
  </si>
  <si>
    <t xml:space="preserve"> JP Head of Corporate Communications</t>
  </si>
  <si>
    <t>14h15</t>
  </si>
  <si>
    <t>Growing number of internal and external PORTNET® users reporting to helpdesk that the PORTNET® website is slow and unresponsive. Current number of calls in queue is 40 and increasing.</t>
  </si>
  <si>
    <t>Incident Response Team (Infra)</t>
  </si>
  <si>
    <t>PSA SOC Team</t>
  </si>
  <si>
    <t>PSA Head Of Infocomm Technology &amp; Data, PSA Head of Cyber Security</t>
  </si>
  <si>
    <t>12h00</t>
  </si>
  <si>
    <t>16h30</t>
  </si>
  <si>
    <t xml:space="preserve">Harbour pilots inform POCC that there is a congestion building up at the Tanaka Fairway. Additionally, there is an overcrowding at anchorages ATPH, AWJ, ALGAS, AVLCC. There is a build-up of requests from harbour pilots to enter and leave Tanaka Port through Tanaka Fairway westwards to Blueland Straits. </t>
  </si>
  <si>
    <t>Kongsberg confirms that a vulnerability was indeed found in the C-Scope application, leading to temporary disruption of the service. The vendor has rectified the issue with its codebase and has shipped a patch to eliminate the vulnerability.</t>
  </si>
  <si>
    <t>Threat report provided by Ensign Athena on the Threat Landscape for the Maritime sector of Blueland.</t>
  </si>
  <si>
    <t>Attacker leaks codename of its custom Malware</t>
  </si>
  <si>
    <t>Confirm a few examples of software libraries which are in use in digitalPort@BL and can be used to illustrate the concern of Software Supply Chain Compromise.</t>
  </si>
  <si>
    <t>T1195.002: Compromise Software Supply Chain
T1133: External Remote Services
T1550.001: Application Access Token</t>
  </si>
  <si>
    <t>MPA Corporate Communications</t>
  </si>
  <si>
    <t>Systems administration team preliminary report indicates that the infrastructure serving the JP Online application seems to have been compromised by ransomware. Team reports that servers are showing ransom notes on their desktop or as banners in shell environment.</t>
  </si>
  <si>
    <t>CNBC Asia forwards both emails from PHULU to PSA Corp Comms seeking a official statement from PSA as they will be looking to publish this breaking news.</t>
  </si>
  <si>
    <t>MSOC</t>
  </si>
  <si>
    <t>PSA SOC Team member</t>
  </si>
  <si>
    <t>PSA Head Of Infocomm Technology &amp; Data</t>
  </si>
  <si>
    <t>CNBC Asia</t>
  </si>
  <si>
    <t>PSA SOC Manager</t>
  </si>
  <si>
    <t>KPMG Forensics team</t>
  </si>
  <si>
    <t>MPA PSOS Lead, MPA CISO</t>
  </si>
  <si>
    <t xml:space="preserve">Urgent notification from POCC VISTA supervisor reporting that C-Scope is malfunctioning and is not displaying any vessel information. </t>
  </si>
  <si>
    <t>Blueland Shipping International Pte Ltd informs that the JP Online application is unresponsive and unreachable.</t>
  </si>
  <si>
    <t>Advisory published by US-CERT indicates that threat groups are actively targeting an exploitable PDF RCE vulnerability (CVE-2023-99197) identified by Whitehat security research firm in early 2022. A patch is currently not available for the vulnerability. The vulnerability causes the pdf library reading the pdf to improperly handle objects in memory. The vulnerability could corrupt memory in a way that enables an attacker to execute arbitrary code in the context of the current user.</t>
  </si>
  <si>
    <t>US-CERT publish advisory for CVE-2023-99197 which includes details for PDF RCE vulnerability. Advisory contains instructions for mitigations in the form of a work around while a patch is being developed.</t>
  </si>
  <si>
    <t>IR Team</t>
  </si>
  <si>
    <t>Kongsberg contractor on site alerted PSOS (Port System Ops and Support) team that unfamiliar error codes displaying on C-Scope application in POCC VISTA. 
These error codes have been sent to Kongsberg HQ for further analysis.</t>
  </si>
  <si>
    <t>Parallel forensic investigation in Kongsberg HQ infrastructure reveals that the code repository hosting the source code for the C-Scope application. The malicious code was planted intentionally by an insider. As per preliminary findings, the specific payload of the malicious code is currently unknown but the effect of the malicious code will cause the C-Scope application to cease functioning. The payload is set to be executed at a specific pre-determined time or set of conditions. There is no evidence of the attacker pivoting to other Kongsberg internal networks at this point.</t>
  </si>
  <si>
    <t>Advisory published by Ensign Athena indicates that threat groups are actively targeting an exploitable PDF RCE vulnerability (CVE-2023-99197) identified by Whitehat security research firm in early 2022. A patch is currently not available for the vulnerability. The vulnerability causes the pdf library reading the pdf to improperly handle objects in memory. The vulnerability could corrupt memory in a way that enables an attacker to execute arbitrary code in the context of the current user.</t>
  </si>
  <si>
    <t>Software Supply Chain Compromise of C-Scope and AIS beaconing system causing temporary loss of visibility</t>
  </si>
  <si>
    <t>Software Supply Chain Compromise affecting the integrity of data stored in PTMS</t>
  </si>
  <si>
    <t>Public proclamation by threat actor on dark web and social media stating that a cyber campaign against MPA is under way and MPA has already been compromised.</t>
  </si>
  <si>
    <t>11h45</t>
  </si>
  <si>
    <t>11h15</t>
  </si>
  <si>
    <t>10h40</t>
  </si>
  <si>
    <t>CMT Scenarios</t>
  </si>
  <si>
    <t>PHULU admits responsibility for the MAUI Ransomware attack and demands a ransom payment of 10 bitcoins for the decryption key and cc's trade publications, PSA customers and international media outlets which includes CNBC to raise media interest and to instigate PSA's customers to pressure PSA to pay.</t>
  </si>
  <si>
    <t xml:space="preserve">CITOS® and TOS® Systems Owner </t>
  </si>
  <si>
    <t>Aloysius Chan, a well-known Blueland cybersecurity personality with large number of followers, posts on LinkedIn about the Ransomware attack on MPA.</t>
  </si>
  <si>
    <t>MPA Contact Centre reports that at least 13 different shipping agents have engaged to alert that the digitalPort@BL™ webpage is inaccessible. The page shows a ransomware banner which attributes the attack to SCM.</t>
  </si>
  <si>
    <t>Radio communications from vessel "Ever Ace" from Evergreen in Blueland Straits approaching Blueland from the West SouthWest stalled in the waters near Tanaka Fairway. Harbour pilot reports vessel's engines are damaged and require emergency repairs and ship has stalled in the narrow channel between Jucin Island and the port along Tanaka South Boulevard. Watch Supervisor is unable to locate vessel.
NOTE: With a capacity of 23,992 TEUs, Ever ACE is currently the world’s largest container ship. This 400-meter long giant has 24 rows of side-by-side containers having a massive breadth of 61.53 meters. The main engine is a 2-stroke Wartsila engine comprising of 11 cylinders delivering 70950 Kilowatts of power which accelerated the ship to a cruising speed of 22.6 knots.</t>
  </si>
  <si>
    <t>MPA CISO</t>
  </si>
  <si>
    <t>PHULU claims responsibility for a targeted ransomware attack on the JP Online infrastructure and cc local media and news channels (Mothership and Straits Times) and Jurong Port customers to raise media interest and to pressure JP to pay a ransom of 10 bitcoins.</t>
  </si>
  <si>
    <t xml:space="preserve">Mothership article about Ransomware in JP, drawing parallel with the other Cyber Attacks on the Maritime Sector and hints at a coordinated cyber attack on the Maritime Sector. </t>
  </si>
  <si>
    <t xml:space="preserve">JP's cement client, Engro, forwarded the threat actor's claim to JP account managers seek confirmation of the report, actions taken and get onto a call.  </t>
  </si>
  <si>
    <t>CIO Engro Global</t>
  </si>
  <si>
    <r>
      <t>Please report this simulated response to MPA CISO:
After</t>
    </r>
    <r>
      <rPr>
        <sz val="12"/>
        <rFont val="Helvetica"/>
        <family val="2"/>
      </rPr>
      <t xml:space="preserve"> </t>
    </r>
    <r>
      <rPr>
        <sz val="12"/>
        <color theme="1"/>
        <rFont val="Helvetica"/>
        <family val="2"/>
      </rPr>
      <t>a thorough review of available forensic information and indicators conducted by Head of Cybersecurity Operations, we can confirm that there is no evidence yet that the attacker has pivoted from the infected machin</t>
    </r>
    <r>
      <rPr>
        <sz val="12"/>
        <rFont val="Helvetica"/>
        <family val="2"/>
      </rPr>
      <t>es.</t>
    </r>
    <r>
      <rPr>
        <sz val="12"/>
        <color theme="1"/>
        <rFont val="Helvetica"/>
        <family val="2"/>
      </rPr>
      <t xml:space="preserve"> 
NOTE: Include email address of MPA CISO.</t>
    </r>
  </si>
  <si>
    <t>Please report this simulated response to MPA CISO:
Our vulnerability research reveals that CVE-2023-99197 seems to be the source of the issue. The attacker have leveraged on a 0-day vulnerability involving RCE in metadata of documents to detonate a Ransomware payload on digitalPort@BL systems. At this point there are no signs of further compromise.
NOTE: Include email address of MPA CISO.</t>
  </si>
  <si>
    <t>Head of Cyber Ops</t>
  </si>
  <si>
    <t>Email alert from SOC about data theft from CITOS.</t>
  </si>
  <si>
    <t>MPA CISO, JP CISO, PSA Head of Cyber Security</t>
  </si>
  <si>
    <t>PSA Server Team duty engineer</t>
  </si>
  <si>
    <t>PSA Server Team Lead</t>
  </si>
  <si>
    <t>PORTNET® Systems Owner</t>
  </si>
  <si>
    <t>PSA SOC reports unusual network traffic from NIDS monitoring with IP range 10.72.0.0-10.72.255.255 and 10.82.0.0-10.82.255.255.</t>
  </si>
  <si>
    <t>PSA SOC</t>
  </si>
  <si>
    <t xml:space="preserve">System administrators of the PORTNET® application servers confirms that a Ransomware is present on PORTNET® application servers and databases at PPTB data center where the PORTNET® active service is hosted. At the point in time of the sending the email, all services reliant on PORTNET® have completely halted. </t>
  </si>
  <si>
    <r>
      <t>Forensics report show a malware originating from an infected PDF document in PORTNET® Systems containing an exploit for a Oracle WebLogic vulnerability with a backdoor allowing the attacker to gain unauthorised access. This allowed the attacker to have a foothold to pivot to CITOS® and TOS® network. 
The report further states that 100GB of data from CITOS was exfiltrated. Data such as container location within the yards were exfiltrated from CITOS. Also, the report includes details of  attacker gaining access to</t>
    </r>
    <r>
      <rPr>
        <sz val="12"/>
        <rFont val="Helvetica"/>
        <family val="2"/>
      </rPr>
      <t xml:space="preserve"> CITOS® database hours prior and evidence of data exfiltration since then. </t>
    </r>
  </si>
  <si>
    <r>
      <t xml:space="preserve">T1190: Exploit Public-Facing Application
T1569: System Services
T1505.003: Web Shell
T1548.002: Bypass User Account Control
</t>
    </r>
    <r>
      <rPr>
        <sz val="12"/>
        <color theme="1"/>
        <rFont val="Helvetica"/>
        <family val="2"/>
      </rPr>
      <t xml:space="preserve">T1055: Process Injection
</t>
    </r>
    <r>
      <rPr>
        <sz val="12"/>
        <color theme="1"/>
        <rFont val="Helvetica"/>
        <family val="2"/>
      </rPr>
      <t>T1046: Network Service Discovery 
T1210: Exploitation of Remote Services
T1021.004: SSH
T1486: Data Encrypted for Impact</t>
    </r>
  </si>
  <si>
    <t>System administrators reported that CITOS® service and TOS® service at PPTB data center are down due to ransomware</t>
  </si>
  <si>
    <t>Results for investigation including IoCs of the malicious code, indicating that it is isolated to PTMS as only PTMS has access to this specific malcious executable code. No other systems were affected.</t>
  </si>
  <si>
    <t>PTMS is now up and running after reverting to the backup. Operations continue as usual.</t>
  </si>
  <si>
    <t>10h45</t>
  </si>
  <si>
    <t>14h25</t>
  </si>
  <si>
    <t>PTMS PM</t>
  </si>
  <si>
    <t xml:space="preserve"> MPA CISO, PSOS Lead</t>
  </si>
  <si>
    <t>Kongsberg Contractor (Exercise Control)</t>
  </si>
  <si>
    <t>Kongsberg Service Account Director (Exercise Control)</t>
  </si>
  <si>
    <t>PSA Server Team duty engineer reports unusual behaviour, a spike in overall CPU and storage usage of Servers in TPC and PPTB Data Centre subnet within the internal network with IP range 10.72.0.0-10.72.255.255 and 10.82.0.0-10.82.255.255.</t>
  </si>
  <si>
    <t>JP Helpdesk, JP Chief Corporate Development Officer</t>
  </si>
  <si>
    <t xml:space="preserve">Notification from POCC operator to POCC supervisor that PTMS software on one PTMS client is unable to fully initialize and "stops responding" when attempting to restart the application. </t>
  </si>
  <si>
    <t>MPA CISO, Head Sec Ops</t>
  </si>
  <si>
    <t>Notification from POCC operator to POCC supervisor that PTMS software on all PTMS clients in POCC VISTA are unable to fully initialize and "stops responding" when attempting to restart the application. This appears to not be an isolated incident.
PTMS is malfunctioning and cannot be remedied by operators.</t>
  </si>
  <si>
    <t>Analysis of affected PTMS clients reveals that PTMS client software has had their application files modified (DLL was deleted). The modifications mentioned was first observed at around 0900. Review of the logs indicate that all affected PTMS clients accessed a specific database entry in SyBase when the crash occurred. Further analysis of the specific database entry in SyBase is required. 
&lt;Insert a few IoCs here&gt;</t>
  </si>
  <si>
    <t>Advisory on new advanced second order code injection observed being exploited in the wild. There is no CVE classification at this point in time.
To include description on how this method of compromise is a widespread spray and pray technique being adopted by threat actors.</t>
  </si>
  <si>
    <t xml:space="preserve">Further Analysis reveals that the identifed database entry contains what appears to the executable code. A sample of which is provided with this update. The entry was added on 27 March 2023 when a vessel, "MV Everglade" submitted a port clearance document through SWPC. 
Analysis of the executable code reveals that it modifies the parameters of the software that parses the code and renders the software unserviceable. No other behaviors were observed, </t>
  </si>
  <si>
    <t>The Maritime Executive posts an online article on agencies in the region losing visibility over the waters. Journal notes that maritime vessel tracking systems from several suppliers are experiencing malfunctions over the last 6 months, the majority are systems installed in Asia and South East Asia</t>
  </si>
  <si>
    <t>In the midst of heightened alertness, system administrators confirm that an intruder has gained unauthorized access to PSA intranet. The attacker then pivoted to CITOS® via a RCE vulnerability on Oracle WebLogic, and TOS® application servers via a vulnerability in HP NS SSH protocol implementation of public key cryptography. The source IP of the unauthorized access of PSA intranet appears to originate from the compromised PORTNET servers.</t>
  </si>
  <si>
    <t>15h30</t>
  </si>
  <si>
    <t>M-01-01</t>
  </si>
  <si>
    <t>M-01-02</t>
  </si>
  <si>
    <t>M-01-03</t>
  </si>
  <si>
    <t>M-01-04</t>
  </si>
  <si>
    <t>M-01-05</t>
  </si>
  <si>
    <t>M-01-06</t>
  </si>
  <si>
    <t>M-01-07</t>
  </si>
  <si>
    <t>M-01-08</t>
  </si>
  <si>
    <t>M-01-09</t>
  </si>
  <si>
    <t>M-01-10</t>
  </si>
  <si>
    <t>M-01-11</t>
  </si>
  <si>
    <t>M-01-12</t>
  </si>
  <si>
    <t>M-01-13</t>
  </si>
  <si>
    <t>M-01-14</t>
  </si>
  <si>
    <t>M-01-15</t>
  </si>
  <si>
    <t>M-01-16</t>
  </si>
  <si>
    <t>M-01-17</t>
  </si>
  <si>
    <t>M-01-18</t>
  </si>
  <si>
    <t>M-01-19</t>
  </si>
  <si>
    <t>M-01-20</t>
  </si>
  <si>
    <t>M-01-21</t>
  </si>
  <si>
    <t>M-01-22</t>
  </si>
  <si>
    <t>P-01-01</t>
  </si>
  <si>
    <t>P-01-02</t>
  </si>
  <si>
    <t>P-01-03</t>
  </si>
  <si>
    <t>P-01-04</t>
  </si>
  <si>
    <t>P-01-05</t>
  </si>
  <si>
    <t>P-01-06</t>
  </si>
  <si>
    <t>P-01-07</t>
  </si>
  <si>
    <t>P-01-08</t>
  </si>
  <si>
    <t>P-01-09</t>
  </si>
  <si>
    <t>P-01-10</t>
  </si>
  <si>
    <t>P-01-11</t>
  </si>
  <si>
    <t>P-01-12</t>
  </si>
  <si>
    <t>J-01-01</t>
  </si>
  <si>
    <t>J-01-02</t>
  </si>
  <si>
    <t>J-01-03</t>
  </si>
  <si>
    <t>J-01-04</t>
  </si>
  <si>
    <t>J-01-05</t>
  </si>
  <si>
    <t>J-01-06</t>
  </si>
  <si>
    <t>J-01-07</t>
  </si>
  <si>
    <r>
      <t>PHULU admits responsibility for a data breach of PSA's systems and demands a ransom payment of 10 bitcoins for decryption key for CITOS and TOS and cc's trade publications an</t>
    </r>
    <r>
      <rPr>
        <sz val="12"/>
        <rFont val="Helvetica"/>
        <family val="2"/>
      </rPr>
      <t>d, other regional ports (Klang, Kobe, and an Indonesian port operated by PSA - intent is to embarass and reduce competitive advantage),</t>
    </r>
    <r>
      <rPr>
        <sz val="12"/>
        <color theme="1"/>
        <rFont val="Helvetica"/>
        <family val="2"/>
      </rPr>
      <t xml:space="preserve"> PSA customers and international media outlets which includes CNBC to raise media interest and to instigate PSA's customers to pressure PSA to pay. Shows proof of stolen PSA container manifest in email.</t>
    </r>
  </si>
  <si>
    <t>PHULU claimed responsibility for the MAUI Ransomware attack and demanding a ransom payment of 10 bitcoins for the decryption key and cc-ed global media e.g. Reuters, CNBC, CNN, CNA etc and PSA customers to raise media interest to pressure MPA to pay.</t>
  </si>
  <si>
    <r>
      <t xml:space="preserve">KPMG Forensics team conducted root cause analysis successfully. As per the results of the assessment, the Ransomware seems to be a variant of the Maui family, known as the Mako Ransomware.
Initial access of the Ransomware appears to be an infected PDF document in </t>
    </r>
    <r>
      <rPr>
        <sz val="12"/>
        <rFont val="Helvetica"/>
        <family val="2"/>
      </rPr>
      <t>JP Online Systems</t>
    </r>
    <r>
      <rPr>
        <sz val="12"/>
        <rFont val="Helvetica"/>
        <family val="2"/>
      </rPr>
      <t xml:space="preserve"> containing an  exploit for a RCE vulnerability with a backdoor allowing the attacker to gain unauthorised access. </t>
    </r>
  </si>
  <si>
    <t>Day 1
AM</t>
  </si>
  <si>
    <t>Day 2
PM</t>
  </si>
  <si>
    <t>PHULU/SCM</t>
  </si>
  <si>
    <t>Public-Facing Application</t>
  </si>
  <si>
    <t>Supply Chain</t>
  </si>
  <si>
    <t xml:space="preserve">0-day vulnerability </t>
  </si>
  <si>
    <t>Day 2</t>
  </si>
  <si>
    <t>[MPA] To disrupt MPA’s operational capability in managing traffic through the Blueland straits.
To demand a ransom, in the form of cryptocurrency, from victims in exchange for the decryption key to unlock their data.</t>
  </si>
  <si>
    <t>Vulnerability on API Gateway on EDI via PORTNET® leading to Ransomware infection on CITOS</t>
  </si>
  <si>
    <t>0-day vulnerability on API Gateway on EDI via PORTNET® leading to Compromise in Data Integrity</t>
  </si>
  <si>
    <t>0-day vulnerability on API Gateway on EDI via digitalPort@BL leading to Compromise in Data Integrity</t>
  </si>
  <si>
    <t>[JP] To disrupt the global supply chain by crippling port operations.
To demand a ransom, in the form of cryptocurrency, from victims in exchange for the decryption key to unlock their data.</t>
  </si>
  <si>
    <t>[PSA] To disrupt the global supply chain by crippling port operations .</t>
  </si>
  <si>
    <t>[MPA] To disrupt MPA's visibility of traffic through the Blueland straits and destabilize the nation.</t>
  </si>
  <si>
    <t>[MPA] To disrupt the global supply chain by crippling port operations.</t>
  </si>
  <si>
    <t>0-day vulnerability on API Gateway on EDI via JP Online leading to Compromise in Data Integrity and Ransowmare</t>
  </si>
  <si>
    <t>Software Supply Chain Compromise on CIU PC on aRMG causing hardware failure on TOS servers</t>
  </si>
  <si>
    <t>All biometric systems at the JP main gate ceases to function causing operational choke points and a traffic build up spilling onto public roads.</t>
  </si>
  <si>
    <t xml:space="preserve">[JP] Compromise Techsphere's code repository for VPX-II biometric systems to deliver logic bombs to decapitate all VPX-II systems in production. </t>
  </si>
  <si>
    <t>[PSA] To disrupt PSA's port operations by cripploing automated terminal operations.</t>
  </si>
  <si>
    <t>[PSA] To disrupt PSA's port automated scheduling system.
To demand a ransom, in the form of cryptocurrency, from victims in exchange for the decryption key to unlock their data.</t>
  </si>
  <si>
    <t>Ensign Athena Advisory containing Threat Actor writeup and details including the pool of IOCs tagged against their associated TAs.</t>
  </si>
  <si>
    <t>Notifications received from IT, Database Administrators or SOC about the tampering of data within the JP Online database.</t>
  </si>
  <si>
    <t>mSOC detects Ransomware on JP Online servers</t>
  </si>
  <si>
    <t xml:space="preserve">Notifications received from Database Administrator stating that he received a SMS from PORTNET database monitoring system. The SMS states that excessive entries in PORTNET database have been modified. </t>
  </si>
  <si>
    <t>Ensign IR</t>
  </si>
  <si>
    <t>MPA/MPA CSO</t>
  </si>
  <si>
    <t>PSA MD Container Business</t>
  </si>
  <si>
    <t>JP Cyber Team 
JP CISO</t>
  </si>
  <si>
    <t>JP Head of Corporate Communications</t>
  </si>
  <si>
    <t>0900</t>
  </si>
  <si>
    <t>0915</t>
  </si>
  <si>
    <t>0930</t>
  </si>
  <si>
    <t>1015</t>
  </si>
  <si>
    <t>1045</t>
  </si>
  <si>
    <t>1000</t>
  </si>
  <si>
    <t>1030</t>
  </si>
  <si>
    <t>1100</t>
  </si>
  <si>
    <t>1115</t>
  </si>
  <si>
    <t xml:space="preserve">Information sharing through C3S from other golbal ports about Electronic Data Interchange getting compromised via their API gateway. </t>
  </si>
  <si>
    <t>1130</t>
  </si>
  <si>
    <t>1330</t>
  </si>
  <si>
    <t>1415</t>
  </si>
  <si>
    <t xml:space="preserve"> MPA Corporate Communications, PSA Media Officer, JP Head of Corporate Communications</t>
  </si>
  <si>
    <t>EN-01-01</t>
  </si>
  <si>
    <t>M-02-01</t>
  </si>
  <si>
    <t>M-02-02</t>
  </si>
  <si>
    <t>M-02-03</t>
  </si>
  <si>
    <t>M-02-04</t>
  </si>
  <si>
    <t>M-02-05</t>
  </si>
  <si>
    <t>M-02-06</t>
  </si>
  <si>
    <t>M-02-07</t>
  </si>
  <si>
    <t>M-02-08</t>
  </si>
  <si>
    <t>P-01-13</t>
  </si>
  <si>
    <t>P-02-01</t>
  </si>
  <si>
    <t>P-02-02</t>
  </si>
  <si>
    <t>P-02-03</t>
  </si>
  <si>
    <t>P-02-04</t>
  </si>
  <si>
    <t>P-02-05</t>
  </si>
  <si>
    <t>J-01-08</t>
  </si>
  <si>
    <t>J-01-09</t>
  </si>
  <si>
    <t>J-01-10</t>
  </si>
  <si>
    <t>J-02-01</t>
  </si>
  <si>
    <t>J-02-02</t>
  </si>
  <si>
    <t>J-02-03</t>
  </si>
  <si>
    <t>J-02-04</t>
  </si>
  <si>
    <t>EN-02-01</t>
  </si>
  <si>
    <t>0905</t>
  </si>
  <si>
    <t>18h00</t>
  </si>
  <si>
    <t>MPA Cyber Team</t>
  </si>
  <si>
    <t>MPA CISO
MPA Threat Intel</t>
  </si>
  <si>
    <t>1335</t>
  </si>
  <si>
    <t>MPA PM for VTIS, MPA CISO</t>
  </si>
  <si>
    <t>MPA Head Sec Ops, MPA CISO</t>
  </si>
  <si>
    <t xml:space="preserve">Alert from Database Administrator on the abnormal behaviour detected in Sybase. </t>
  </si>
  <si>
    <t xml:space="preserve">Information sharing through C3S platform from Port Stormpoint about Electronic Data Interchange getting compromised via their API gateway. </t>
  </si>
  <si>
    <t>Preliminary incident report containing root cause analysis on unauthorised data deletions in digitalPort@BL.</t>
  </si>
  <si>
    <t>Advisory on new advanced second order code injection observed being exploited in the wild. There is no CVE classification at this point in time.</t>
  </si>
  <si>
    <t>Ensign Athena advisory reports potential C-Scope interference in the South China Sea due to VTS disruptions between India and Japan.</t>
  </si>
  <si>
    <t>PM for VTIS, MPA CISO</t>
  </si>
  <si>
    <t>PSA Container Business Assurance (Daniel)</t>
  </si>
  <si>
    <t xml:space="preserve">Notifications from staff at Container Freight Station (CFS) that the containers that they expected to repackage do not match with goods list provided by the clients. They are reporting that container numbers that arrived are wrong and are unable to proceed with reconsolidation of cargo. </t>
  </si>
  <si>
    <t xml:space="preserve">Notification from Helpdesk to PORTNET system team that stating that complains from Container Business have crossed a threshold of 5 per hour. </t>
  </si>
  <si>
    <t>Server Team Lead</t>
  </si>
  <si>
    <t>SOC Manager</t>
  </si>
  <si>
    <t>PSA Container Business Assurance</t>
  </si>
  <si>
    <t>PSA DFIR Service Provider</t>
  </si>
  <si>
    <t xml:space="preserve">Advisory on a vulnerability in the Electronic Data Interchange (EDI) system's API, used in maritime document exchange. </t>
  </si>
  <si>
    <t>DigitalPort@BL team</t>
  </si>
  <si>
    <t>Alert from POCC Vista supervisor informing that vessels entering Blueland waters did not have the necessary E-PANS documents submitted in digitalPort@BL system. However, the vessels reported that they did submitted the necessary documents.</t>
  </si>
  <si>
    <t>Report from POCC Vista supervisor that cross-checks of data with the Port Security Unit (PSU) revealed that the vessels' submitted forms in digitalPort@BL are indeed missing.</t>
  </si>
  <si>
    <t xml:space="preserve">Notification from POCC supervisor that PTMS software on one PTMS client is unable to fully initialise. The issue persists when attempting to restart the application. </t>
  </si>
  <si>
    <t>Notification from POCC supervisor that PTMS software on all PTMS clients in POCC VISTA are unable to fully initialise. The issue persists when attempting to restart the application. This appears to not be an isolated incident.</t>
  </si>
  <si>
    <t xml:space="preserve">Urgent notification from POCC Charlie (Changi) supervisor reporting that C-Scope is malfunctioning and is not displaying any vessel information. </t>
  </si>
  <si>
    <t>Kongsberg Contractor</t>
  </si>
  <si>
    <t>Kongsberg contractor on-site found unfamiliar error codes displaying on C-Scope application in POCC VISTA. 
These error codes have been sent to Kongsberg HQ for further analysis.</t>
  </si>
  <si>
    <t>CITOS Team</t>
  </si>
  <si>
    <t xml:space="preserve">PSOC analyst alerted that there is unauthorised access to the PSA intranet. </t>
  </si>
  <si>
    <t>Email from Global Shipping complaining about disruptions in PPT 4/5/6 disrupting urgent deliveries.</t>
  </si>
  <si>
    <t>PSA PORTNET Team</t>
  </si>
  <si>
    <t xml:space="preserve">Notifications received from Server Administrator stating that he received a SMS from TOS monitoring monitoring system. </t>
  </si>
  <si>
    <t xml:space="preserve"> PSA Network Infrastructure Team  </t>
  </si>
  <si>
    <t>Automated aRMG operations in PPT 4/5/6 have halted. Hauliers are waiting in the yard. Backlog of Prime movers queueing from PPT gate into the public roads.</t>
  </si>
  <si>
    <t>JP Digital Technology Team</t>
  </si>
  <si>
    <t>Helpdesk notifies that they have received feedback from Document &amp; Charges department that they received reports of multiple instances of wrong cargo manifests during the unloading operations.</t>
  </si>
  <si>
    <t>JP Head of IT
JP CISO</t>
  </si>
  <si>
    <t>PSA Head of Cybersecurity
PSA Threat Intel</t>
  </si>
  <si>
    <t>Manual reconciliation of data from customer's input with JP Online database by Operations Team reveals that data from JP Online's database is not accurate.</t>
  </si>
  <si>
    <t xml:space="preserve">Information sharing from other global ports about Electronic Data Interchange getting compromised via their API gateway on C3S. </t>
  </si>
  <si>
    <t>Preliminary incident report from KPMG Forensics team containing root cause analysis on altered data in JP Online. Results include details on initial access and IOCs that would identify the responsible threat actor.</t>
  </si>
  <si>
    <t>JP Cyber team</t>
  </si>
  <si>
    <t>Alert from Singtel SOC to JP Cyber team stating that Web Defacement rule for JP Online has been triggered.</t>
  </si>
  <si>
    <t>JP Online Helpdesk notifies that they have received notifications from customer service stating that JP Online has been inaccessible since 1330h.</t>
  </si>
  <si>
    <t xml:space="preserve">Initial incident report from Incident Response Team (KPMG) for JP Online reveling that the homepage have been replaced with different text and images and sub pages have been deleted. </t>
  </si>
  <si>
    <t xml:space="preserve">Social media posts on the defaced JP Online website and speculates that Blueland is vulnerabile to Cyber attacks carried out by Sendacia. </t>
  </si>
  <si>
    <t>JP Corp Comms</t>
  </si>
  <si>
    <t>Infra Systems Team</t>
  </si>
  <si>
    <t xml:space="preserve">Preliminary report from KPMG Forensics team on the root cause analysis of the ransomware. </t>
  </si>
  <si>
    <t>JP Head of IT, JP CISO, Cyber Team</t>
  </si>
  <si>
    <t>Public proclamation by SCM on dark web and social media stating that a cyber campaign against MPA is under way and MPA has already been compromised.</t>
  </si>
  <si>
    <t>1430</t>
  </si>
  <si>
    <t>Email from PSA Port Operations team on the delays of the mulitple clients' vessels docking at the berths of CPLT, PIL-PSA and COSCO SHIPPING-PSA terminals due to issues with E-PANS documents on digitalPORT@BL.</t>
  </si>
  <si>
    <t xml:space="preserve">Follow up forensics report revealing the identifed database entry contains what appears to contain the executable code.  The entry was added on 15 April 2024 when a vessel, "MV Peacemillion" submitted a port clearance document through SWPC. </t>
  </si>
  <si>
    <t>Threat actor taunts MPA via email with regards to the cyber attacks throughout the campaign.</t>
  </si>
  <si>
    <t xml:space="preserve">Email from JS44 claiming to have successfully compromised the maritime sector. </t>
  </si>
  <si>
    <t>PSA Corporate Communications</t>
  </si>
  <si>
    <t>JP Corporate Communications</t>
  </si>
  <si>
    <t>J-01-11</t>
  </si>
  <si>
    <t>Email from JP Berthing department on the delays of the clients' vessels docking at the berths of bulk cargo terminal due to issues with E-PANS documents on digitalPORT@BL.</t>
  </si>
  <si>
    <t>JP LT and RT "Operations"</t>
  </si>
  <si>
    <t>Systems administration team preliminary report indicates that the infrastructure serving the JP Online application seems to have been compromised by ransomware. Team reports that servers are showing notes on their desktop or as banners in shell environment. In addition to demanding a ransom for 1 bitcoins, the note also seem to contain pro-Sendacia sentiments.</t>
  </si>
  <si>
    <t>Threat group claims responsibility on attacks on the maritime sector of Blueland, and threatens to escalate further attacks on the other constituents of the maritime sector if their ransom demands are not met.</t>
  </si>
  <si>
    <t>Threat actor claims responsibility for a targeted ransomware attack on the JP Online infrastructure and threatens to cc local media and news channels and Jurong Port customers to pressure JP to pay a ransom of 1 bitcoins.</t>
  </si>
  <si>
    <t>Parallel forensic investigation in Kongsberg HQ infrastructure reveals that the code repository hosting the source code for the C-Scope application was compromised.</t>
  </si>
  <si>
    <t>Real Date</t>
  </si>
  <si>
    <t>Preliminary incident report on SyBase of PTMS including IoCs of the malicious code.</t>
  </si>
  <si>
    <t xml:space="preserve">Preliminary forensics report of affected PTMS clients reveals that its client software had their application files encrypted. It reveals details of executable code, using "living off the land" methods to execute a encryptor malware. A sample of which is provided with this update. No other behaviors were observed. 
</t>
  </si>
  <si>
    <t>1300</t>
  </si>
  <si>
    <t>1315</t>
  </si>
  <si>
    <t>1030
On Request</t>
  </si>
  <si>
    <t>1115
On Request</t>
  </si>
  <si>
    <t>1335
On Request</t>
  </si>
  <si>
    <t>1000
On Request</t>
  </si>
  <si>
    <t>1315
On Request</t>
  </si>
  <si>
    <t>1430
On Request</t>
  </si>
  <si>
    <t>1045
On Request</t>
  </si>
  <si>
    <t>1130
On Request</t>
  </si>
  <si>
    <t>1330
On Request</t>
  </si>
  <si>
    <t>0930
On Request</t>
  </si>
  <si>
    <t>1059
On Request</t>
  </si>
  <si>
    <t>Manual reconciliation of data by PORTNET application team from cusomter's input with PORTNET® database reveals that data from PORTNET®'s database is not accurate.</t>
  </si>
  <si>
    <t xml:space="preserve">Preliminary incident report from Ensign containing root cause analysis on altered data in PORTNET®. </t>
  </si>
  <si>
    <t>Email from customer to PSA operations who is concerned about the impact of this delay in the distripark/warehouse in their schedule.</t>
  </si>
  <si>
    <t>CITOS Operator alerted that CITOS® service at PPTB data center are down due to ransomware. A ransom note was observed demanding a ransom of 1 bitcoin in return for the decryption key.</t>
  </si>
  <si>
    <t xml:space="preserve">Email alert from PSOC analyst about data exfiltration from CITOS®. </t>
  </si>
  <si>
    <t xml:space="preserve">Forensics report from IR Team showing a malware originating from PORTNET® Systems being uploaded and executed in CITOS®. </t>
  </si>
  <si>
    <t>Initial incident report from IT Team for TOS® system owner revealing malformed network packets being sent from CIU PC to TOS®, causing faults in the network device driver and network interface card of the server to be unresponsive.</t>
  </si>
  <si>
    <t>Incident report from IR team containing root cause analysis on TOS® malfunction. Results include details on initial access and IOCs that would identify the responsible threat actor.</t>
  </si>
  <si>
    <t>END OF RANSOMWARE EXERCISE</t>
  </si>
  <si>
    <t>Reference to documentation</t>
  </si>
  <si>
    <t>Actions</t>
  </si>
  <si>
    <t>Team performing the action</t>
  </si>
  <si>
    <t>Group Crisis Management Policy_2023_signed.pdf, Section X.X, page 112</t>
  </si>
  <si>
    <t>IRT</t>
  </si>
  <si>
    <t>Group Crisis Management Policy_2023_signed.pdf, Section 7.1.2, page 12</t>
  </si>
  <si>
    <t>IRT assesses the damage involved and recommends alert status to the CMT Chairman,
who will decide on the final crisis alert status.
(Refer to Appendix 3 for classification of crisis alert status.)</t>
  </si>
  <si>
    <t>Any incident including liquidity crisis that had been classified as “Amber” or “Red”, the
CMT Chairman / Chairman Alternate is required to inform the Board of the details.</t>
  </si>
  <si>
    <t>Other actions will then be taken based on the assessed crisis alert status.
(Refer to Appendix 4 for detailed Crisis Management Flow of Events.)</t>
  </si>
  <si>
    <t>Group CEO shall be delegated with the authority to make any
emergency decisions. Ratification of the decisions shall be sought in accordance to the
Group Authority Grid post the crisis event.</t>
  </si>
  <si>
    <t>CEO</t>
  </si>
  <si>
    <t>When there is financial and / or reputational impact.
The respective entities' CMT Chairman and IRT leader will need to immediately inform and update the Group CRO / GRM. Integrated crisis management actions will be taken to manage any cross border / entity implications.</t>
  </si>
  <si>
    <t>CMT chairman or IRT</t>
  </si>
  <si>
    <t>Group Crisis Management Policy_2023_signed.pdf, Section 7.1.4, page 12</t>
  </si>
  <si>
    <t>Crisis management teams and departments look at the lessons learned from the crisis to assess
any gaps and update the various plans and policies accordingly.</t>
  </si>
  <si>
    <t>CMT and departments</t>
  </si>
  <si>
    <t>Group Crisis Management Policy_2023_signed.pdf, Section 7.1.5, page 13</t>
  </si>
  <si>
    <t>Roles and responsibilities:
 Group Corporate Communications / Public Relations:
o Draft and update press releases;
o Liaise with GRM in drafting and reviewing press release;
o Arrange for media conference (if necessary);
o Manage all public relations and dealings with external parties (excluding regulators);
o Engage external public relations consultancy and support (if required); and
o Liaising with Group Human Capital on communications to all staff.</t>
  </si>
  <si>
    <t>Group Corporate Communications / Public Relations:</t>
  </si>
  <si>
    <t>Group Crisis Management Policy_2023_signed.pdf, Section Appendix 1.2, page 15</t>
  </si>
  <si>
    <t>Group Digital Marketing support:
o Monitor media coverage of the incident (including social media).</t>
  </si>
  <si>
    <t>Group Finance – Investor Relations:
o Engagement with Shareholders</t>
  </si>
  <si>
    <t>Group Finance – Investor Relations</t>
  </si>
  <si>
    <t>Group Digital Marketing support</t>
  </si>
  <si>
    <t>Group Secretariat &amp; Legal:
o Provide legal advice on communications where necessary; and
o Provide regular updates to the Board.</t>
  </si>
  <si>
    <t>Group Secretariat &amp; Legal</t>
  </si>
  <si>
    <t>Operational Risk Management representative from GRM:
o Obtain approval from CMT for release of press statements. (Where there is a need,
Regulatory Compliance representative from GRM will notify Regulatory Authority and
Group Corporate Communications when the approval has been obtained prior to
press statements being issued);
o Provide regular updates to the CMT; and
o Provide regular updates to OCBC.</t>
  </si>
  <si>
    <t>Operational Risk Management representative from GRM:</t>
  </si>
  <si>
    <t>Regulatory Compliance representative from GRM:
o Notify regulator4 as soon as possible, but not later than one hour upon discovery of
incident where business operations will be severely disrupted or activation of BCP;
and
o Manage all communications to and from regulators and industry associations.</t>
  </si>
  <si>
    <t>Regulatory Compliance representative from GRM:</t>
  </si>
  <si>
    <t>Data Protection Office representative from GRM:
o Manage all communications to and from Personal Data Protection Commission.</t>
  </si>
  <si>
    <t>Data Protection Office representative from GRM</t>
  </si>
  <si>
    <t>Operational Risk Management will perform the role of a crisis manager
within the IRT, to facilitate the management and co-ordination of crisis situations</t>
  </si>
  <si>
    <t>A representative from Operational Risk Management</t>
  </si>
  <si>
    <t>The IRT Leader will decide on the IRT composition as warranted by the evolving crisis.</t>
  </si>
  <si>
    <t>IRT Leader</t>
  </si>
  <si>
    <t>Group Crisis Management Policy_2023_signed.pdf, Section Appendix 2.3, page 16</t>
  </si>
  <si>
    <t>Group Crisis Management Policy_2023_signed.pdf, Section Appendix 2.2, page 16</t>
  </si>
  <si>
    <t>For handling of a crisis, the IRT will be the first point of contact. It will perform a preliminary
damage assessment and report to the CMT with their advice and feedback</t>
  </si>
  <si>
    <t>Group Crisis Management Policy_2023_signed.pdf, Section Appendix 2.5, page 16</t>
  </si>
  <si>
    <t>IRT should establish a controlled presence at the incident site;</t>
  </si>
  <si>
    <t>IRT should plan and manage any logistical arrangements and coordination efforts amongst the various teams within the crisis management structure;</t>
  </si>
  <si>
    <t>IRT should facilitate the safe evacuation of staff with the relevant responsible parties;</t>
  </si>
  <si>
    <t>IRT should conduct a preliminary assessment of the incident impact, known injuries, extent of damage and disruption to the Group’s services and business operations, and make recommendations to CMT on the activation, or otherwise, of the business recovery plans;</t>
  </si>
  <si>
    <t>IRT should determine if and / or when access to the Group's facility will be allowed and present findings to the CMT, via the Crisis Command Centre (“CCC”);</t>
  </si>
  <si>
    <t>IRT should contact the Police, Civil Defence and / or other equivalent local emergency services for assistance as required by the situation; and</t>
  </si>
  <si>
    <t>IRT should establish security of the vacated or damaged facility / facilities as soon as possible following an incident.</t>
  </si>
  <si>
    <t>Group Crisis Management Policy_2023_signed.pdf, Section Appendix 4.1, page 17</t>
  </si>
  <si>
    <t>Crisis Command Centre will be responsible for collecting information on the current
status of the operational impact from the affected business units and disseminating any
strategic decision made by the CMT.</t>
  </si>
  <si>
    <t>IRT will activate the Crisis Command Centre if deemed necessary by the CMT and the IRT leader will oversee
the operations of the Crisis Command Centre.</t>
  </si>
  <si>
    <t>Crisis Command Centre</t>
  </si>
  <si>
    <t>The Crisis Command Centre will provide a single channel of communication for the public and the media.</t>
  </si>
  <si>
    <t>Group Corporate Communications</t>
  </si>
  <si>
    <t>Group Operations Be the first point of contact with BCM coordinators for coordination with support teams;</t>
  </si>
  <si>
    <t>Group Operations Facilitate the communication and coordination amongst the various support teams; and</t>
  </si>
  <si>
    <t>Group Operations Ensure that the recovery support services required by Recovery Staff are adequately provided.</t>
  </si>
  <si>
    <t>Group Operations</t>
  </si>
  <si>
    <t>Human Capital Disseminate timely information to all relevant internal parties including staff safety and welfare;</t>
  </si>
  <si>
    <t>Human Capital Provide / obtain information and contact details of other staff (who may be required during a crisis);</t>
  </si>
  <si>
    <t>Human Capital Assist in recruiting temporary staff to help in actual business recovery activities;</t>
  </si>
  <si>
    <t>Human Capital Arrange for crisis counselling support for staff who experienced psychological trauma;</t>
  </si>
  <si>
    <t>Human Capital Contact the next-of-kin in case of a casualty;</t>
  </si>
  <si>
    <t>Human Capital Liaise with, and provide welfare and briefing to the affected staff’s family;</t>
  </si>
  <si>
    <t>Human Capital Make any necessary arrangements e.g. hospital visit, hotel lodging for family from overseas etc to take care of affected staff; and</t>
  </si>
  <si>
    <t>Human Capital Arrange for emergency cash advance for affected staff in a crisis.</t>
  </si>
  <si>
    <t>Human Capital</t>
  </si>
  <si>
    <t>Group Corporate Communications will have representatives in the Crisis Command Centre to support any internal and external communication needs.</t>
  </si>
  <si>
    <t>Group Crisis Management Policy_2023_signed.pdf, Section Appendix 4.3, page 17</t>
  </si>
  <si>
    <t>Group Crisis Management Policy_2023_signed.pdf, Section Appendix 6.1.1, page 18</t>
  </si>
  <si>
    <t>Group Crisis Management Policy_2023_signed.pdf, Section Appendix 6.1.2, page 18</t>
  </si>
  <si>
    <t>Customer Service - Office Services provide office support equipment such as furniture, stationery etc. at the alternate site;</t>
  </si>
  <si>
    <t>Customer Service - Office Services provide support for mail arrangement services;</t>
  </si>
  <si>
    <t>Customer Service - Office Services assist the IRT in assessing the damage at the disaster site and salvage what can be saved;</t>
  </si>
  <si>
    <t>Customer Service - Office Services provide support at new site or contingency site where card access facilities are required;</t>
  </si>
  <si>
    <t>Customer Service - Office Services establish and maintain a contact list of all vendors and suppliers for the non-computer recovery resources that are required by business units at the alternate sites e.g. office equipment, furniture, stationery etc.; and</t>
  </si>
  <si>
    <t>Customer Service - Office Services arrange for refreshments at the CCC.</t>
  </si>
  <si>
    <t>Customer Service - Office Services</t>
  </si>
  <si>
    <t>Group Crisis Management Policy_2023_signed.pdf, Section Appendix 6.1.3, page 18</t>
  </si>
  <si>
    <t>Group Secretariat &amp; Legal respond to all legal concerns arising from the crisis;</t>
  </si>
  <si>
    <t>Group Secretariat &amp; Legal liaise with overseas legal counsel to examine the impact on the Group’s overseas entities of any changes in the law or regulations arising from the crisis;</t>
  </si>
  <si>
    <t>Group Secretariat &amp; Legal provide advice on legal issues arising from a crisis and any action plans; and</t>
  </si>
  <si>
    <t>Group Secretariat &amp; Legal provide legal advice to Group Corporate Communications.</t>
  </si>
  <si>
    <t>Group Crisis Management Policy_2023_signed.pdf, Section Appendix 6.1.6, page 18</t>
  </si>
  <si>
    <t>Group Risk Management (“GRM”) provide advice on matters relating to information security.</t>
  </si>
  <si>
    <t>Group Risk Management (“GRM”) liaise with relevant Regulatory Authority</t>
  </si>
  <si>
    <t>Group Risk Management (“GRM”)</t>
  </si>
  <si>
    <t>Group Crisis Management Policy_2023_signed.pdf, Section Appendix 6.1.7, page 19</t>
  </si>
  <si>
    <t>IT – DR Support Team activate the IT disaster recovery plan, where the need arises;</t>
  </si>
  <si>
    <t>IT – DR Support Team activate the disaster recovery site;</t>
  </si>
  <si>
    <t>IT – DR Support Team work with the business units to initiate the IT recovery process;</t>
  </si>
  <si>
    <t>IT – DR Support Team liaise with vendors / telecommunication agencies on the computer and communication resources required by the business units at their alternate business sites;</t>
  </si>
  <si>
    <t>IT – DR Support Team ensure that all computer and telecommunication equipment are in good working condition at the alternate business sites; and</t>
  </si>
  <si>
    <t>IT – DR Support Team provide technology support at the alternate business sites (e.g. essential software is working properly).</t>
  </si>
  <si>
    <t>IT – DR Support Team</t>
  </si>
  <si>
    <t>Group Crisis Management Policy_2023_signed.pdf, Section Appendix 6.1.9, page 19</t>
  </si>
  <si>
    <t xml:space="preserve">Service Desk Support </t>
  </si>
  <si>
    <t>Production Support</t>
  </si>
  <si>
    <t>Support Manager</t>
  </si>
  <si>
    <t>Approver</t>
  </si>
  <si>
    <t>Requestor</t>
  </si>
  <si>
    <t>IGPS 4-1-1 Service Desk Incident Management Process, Section 1.0 page 12</t>
  </si>
  <si>
    <t>IGPS 4-1-1 Service Desk Incident Management Process, Section 4.0 page 12</t>
  </si>
  <si>
    <t>Service Provider</t>
  </si>
  <si>
    <t>IGPS 4-1-1 Service Desk Incident Management Process, Section 2.0 page 12</t>
  </si>
  <si>
    <t>IGPS 4-1-1 Service Desk Incident Management Process, Section 3.0 page 12</t>
  </si>
  <si>
    <t>IT Helpdesk</t>
  </si>
  <si>
    <t>IGPS 4-1-3 IT Crisis-Incident Notification and Reporting Process to Regulators
(MAS / AMBD / BNM), Section 2.1.1 page 7</t>
  </si>
  <si>
    <t>IT Service Management</t>
  </si>
  <si>
    <t>1. Activate IT Crisis Reporting Process (“T”)</t>
  </si>
  <si>
    <t>2. Notify:
•IT HOD
•IT DRO</t>
  </si>
  <si>
    <t>2.1 Provide initial Incident Report to IT DRO</t>
  </si>
  <si>
    <t>2.2 Provide Final Incident Report to IT DRO</t>
  </si>
  <si>
    <t>3. Assume role of IT Crisis Commander
Notify: SMT / GMT</t>
  </si>
  <si>
    <t>4. Notify TRM and submit initial Incident Report</t>
  </si>
  <si>
    <t>5. 
Decision Point
Is this a reportable relevant incident?</t>
  </si>
  <si>
    <t>IT Department Risk Officer
(“IT DRO”)</t>
  </si>
  <si>
    <t>MD, Group IT / Local IT Head (“IT HOD”)</t>
  </si>
  <si>
    <t>Technology Risk Management
(“TRM”)</t>
  </si>
  <si>
    <t>MD, Group IT / Local IT Head (“IT HOD”)
IT Department Risk Officer
(“IT DRO”)
Technology Risk Management
(“TRM”)</t>
  </si>
  <si>
    <t>IGPS 4-1-3 IT Crisis-Incident Notification and Reporting Process to Regulators
(MAS / AMBD / BNM), Section 2.2.1 page 8</t>
  </si>
  <si>
    <t>1.
Follow up reporting to regulator until closure</t>
  </si>
  <si>
    <t>2.
Closure of Incident</t>
  </si>
  <si>
    <t>1.1
Log and Evaluate Incident
Service Desk Support log, prioritze and evaluate incident. Includes the following information:
Incident Description
Priority of the incident based on SLA agreement</t>
  </si>
  <si>
    <t>1.1.1
1.1.2
Is this a P0?
(Activate IT Crisis Management Mode)
Production Support confirms the incident is a P0 (Crisis Severity), go to P0 Incident Handling Process
After getting confirmation from Production Support that the incident is a P0 (Crisis Severity), go to P0 Incident Handling Process</t>
  </si>
  <si>
    <t>1.2 
Assign Service Desk Engineer to troubleshoot incident
Service Restored?
If it is not a P0 incident, assign Service Desk Engineer to troubleshoot incident
The Engineer shall:
Diagnose the incident and identify a resolution to restore the service as quickly as possible
Use diagnostic scripts and known error/ knowledge base to understand the incident and find an appropriate solution.
If known error is found and resolution can be carried out, restore the service. Otherwise, check if a workaround is available.</t>
  </si>
  <si>
    <t>1.5
Need reassignment?
Assign to the relevant Production Support if there is no solution found and it is Application/ Infrastructure related incidents.</t>
  </si>
  <si>
    <t>1.6
Need involvement from 3rd Party vendor
If 3rd Party vendor is required, involve the vendor to resolve the incident.</t>
  </si>
  <si>
    <t>1.7
Work with 3rd party vendor
Work with 3rd party Engineer to understand the root cause and derive necessary solution/ workaround.</t>
  </si>
  <si>
    <t>1.8
Assign incident to Production Support
If incident is related to Application/ Infrastructure issue, it will be assigned to Production Support.</t>
  </si>
  <si>
    <t>1.9
Escalate incident to Support Manager
If incident is related to Security or is severe or aged, it will be escalated to the Support Manager.
Note: Support Manager in this context refers to the Service Desk Manager.</t>
  </si>
  <si>
    <t>1.1.3
Assign to Production Support
(&lt;=0.5 hrs from time of incident)
After receiving incident assigned from Service Desk Support
Evaluate the incident
Assign the incident to Production support for resolution
Production Support will standby DR Team</t>
  </si>
  <si>
    <t>1.1.4
IT Crisis Management Mode
Activate IT Incident Notification and Reporting Process to Regulators and inform Regulators within 1 hour</t>
  </si>
  <si>
    <t>1.1.5
Perform System Recovery
Diagnose the incident and identify solution that will allow users to return to service as quickly as possible
Reassign incident to other Production support if incident is not within their domain.
Activate DR if system cannot be restored at &lt;=3.5 hours</t>
  </si>
  <si>
    <t>1.1.7
Notify Service Desk Support
Notify Service Desk Support when incident is resolved</t>
  </si>
  <si>
    <t>IGPS 4-1-1 Service Desk Incident Management Process, Section 1.1.2, page 6</t>
  </si>
  <si>
    <t>IGPS 4-1-1 Service Desk Incident Management Process, Section 1.0, page 4</t>
  </si>
  <si>
    <t>IGPS 4-1-1 Service Desk Incident Management Process, Section 2.0, page 8</t>
  </si>
  <si>
    <t>2.1
Evaluate incident
After receiving incident assigned from Service Desk Support:
•Evaluate the incident ;
•Assign the incident to the Engineer for resolution.</t>
  </si>
  <si>
    <t>2.2
Assign to Engineer to troubleshoot incident or reassign to other Production support
Diagnose the incident and identify solution that will allow the user to return to service as quickly as possible.
Reassign incident to other production support if incident is not within their domain.</t>
  </si>
  <si>
    <t>2.5 &amp; 2.6
Need involvement from 3rd Party vendor?
Work with 3rd party vendor
If 3rd Party vendor is required, involve the vendor to resolve the incident. Work with 3rd party Vendor to understand the root cause and derive necessary solution/ workaround.</t>
  </si>
  <si>
    <t>3.1, 3.2, 3.3, 3.3.2
Evaluate incident
Further escalation needed?
Security Incident?
IT Crisis?
Evaluate the escalated incident.
Determine whether the incident requires further escalation
If yes, escalate security incident to Information Security
escalate to: 
IT Crisis Management Mode 
Reference: 
Appendix E for Criteria to determine the severity of incidents 
Appendix F for Incident Impact Definition and 
1.1.2 for P0 Incident Handling Process</t>
  </si>
  <si>
    <t>3.4
Review priority?
Evaluate the escalated incident.
Determine whether the incident requires further escalation
If no, 
Incident Manager to determine if priority is to be overridden.</t>
  </si>
  <si>
    <t>3.5, 3.6
Verify priority override
Verify the priority override justification before submission to Approver.
Submit priority override for approval.</t>
  </si>
  <si>
    <t>3.7
Override priority?
Determine whether priority needs to be overridden.</t>
  </si>
  <si>
    <t>3.8
Update priority
Update priority and inform stakeholders.</t>
  </si>
  <si>
    <t>3.9
Monitor incident to closure
Monitor incident and work with all stakeholders to incident closure.
Update Management Team:
•Overall escalated incident monitoring
•Monthly incident reporting include list of aged tickets, etc.</t>
  </si>
  <si>
    <t>IGPS 4-1-1 Service Desk Incident Management Process, Section 3.0 page 10</t>
  </si>
  <si>
    <t>1.0
Raise Request
Log a service request. Include the details of the request.</t>
  </si>
  <si>
    <t>2.0
Approved Request?
Notify Requestor upon completion of request. Requestor to verify and close the request ticket.</t>
  </si>
  <si>
    <t>3.0
Fulfill Request
If correction is required, check back with requestor to make correction.</t>
  </si>
  <si>
    <t>4.0
Close Request
The request has been carried out and provided the output to the Requester.
Upon receiving approved request, perform necessary arrangement to fulfill request.</t>
  </si>
  <si>
    <t>Incident handler - Refers to the person who performs incident response work.
Example: Functional Tier, SOC</t>
  </si>
  <si>
    <t>IGPS 5-1-1 Security Events Monitoring Process V2.1, Qradar Security Event Monitoring &amp; Escalation, page 4</t>
  </si>
  <si>
    <t>Group IT Security - SOC Team</t>
  </si>
  <si>
    <t>Note: SOC team shall respond (e.g., attend, analyze, and either close or escalate) to the alerts based on the
Priority rating of the Qradar Offense as below:
P1- Within 1 working day
P2 - Within 2 working days
P3 - Within 5 working days
P4 and below - Within 7 working days</t>
  </si>
  <si>
    <r>
      <rPr>
        <b/>
        <sz val="12"/>
        <color theme="1"/>
        <rFont val="Helvetica"/>
        <family val="2"/>
      </rPr>
      <t>Step 1:</t>
    </r>
    <r>
      <rPr>
        <sz val="12"/>
        <color theme="1"/>
        <rFont val="Helvetica"/>
        <family val="2"/>
      </rPr>
      <t xml:space="preserve">
Perform Initial Assessment
output: Analyze the alert and conduct assessment to either close false positive or raise RFI
If false Positive: Update Qradar Offense/MSSP Tracker
Else: proceed to step 2 - Raise Request for Investigation</t>
    </r>
  </si>
  <si>
    <r>
      <rPr>
        <b/>
        <sz val="12"/>
        <color theme="1"/>
        <rFont val="Helvetica"/>
        <family val="2"/>
      </rPr>
      <t>Step 2:</t>
    </r>
    <r>
      <rPr>
        <sz val="12"/>
        <color theme="1"/>
        <rFont val="Helvetica"/>
        <family val="2"/>
      </rPr>
      <t xml:space="preserve">
Raise Request for Investigation</t>
    </r>
    <r>
      <rPr>
        <sz val="12"/>
        <color theme="1"/>
        <rFont val="Helvetica"/>
        <family val="2"/>
      </rPr>
      <t xml:space="preserve">
SOC team assigns the alert to IT Infra Operations in SDP for further investigation and records the investigated event in the Qradar Offense.
A SDP ticket is raised to the relevant technical / application team lead to investigate on the event to check for suspected security incident. SOC team will track the ticket status of the action taken raised in the SDP and update Qradar Offense.
Once ticket is raised, update Qradar Offense/MSSP Tracker</t>
    </r>
  </si>
  <si>
    <t>IT Infra Operations/
Application Team</t>
  </si>
  <si>
    <t>When performing investigation, technical/ application team lead is responsible to ensure adequate verification is duly conducted. Supporting evidence should be presented (where applicable) to the SOC team via SDP or email.</t>
  </si>
  <si>
    <t>technical/ application team lead</t>
  </si>
  <si>
    <t>IGPS 5-1-1 Security Events Monitoring Process V2.1, Qradar Security Event Monitoring &amp; Escalation, page 5</t>
  </si>
  <si>
    <t>IGPS 5-1-1 Security Events Monitoring Process V2.1, Qradar Security Event Monitoring &amp; Escalation, page 6</t>
  </si>
  <si>
    <r>
      <rPr>
        <b/>
        <sz val="12"/>
        <color theme="1"/>
        <rFont val="Helvetica"/>
        <family val="2"/>
      </rPr>
      <t xml:space="preserve">STEP 3: 
</t>
    </r>
    <r>
      <rPr>
        <sz val="12"/>
        <color theme="1"/>
        <rFont val="Helvetica"/>
        <family val="2"/>
      </rPr>
      <t>Investigate and provide justification or evidence</t>
    </r>
    <r>
      <rPr>
        <sz val="12"/>
        <color theme="1"/>
        <rFont val="Helvetica"/>
        <family val="2"/>
      </rPr>
      <t xml:space="preserve">
Output: IT Infra Operations/ Application team to perform investigation and respond to the ticket or email
The respective teams will respond to the ticket raised based on the following escalation SLA</t>
    </r>
  </si>
  <si>
    <t>SLA:
VERY HIGH, Respnond within 1 working days, resolve within 2 working days
HIGH, respond within 3 working days, resolve Within 5 working days
MEDIUM, respond Within 5 working days, resolve Within 7 working days
LOW, respond Within 7 working days, resolve Within 10 working days</t>
  </si>
  <si>
    <t>Actions include:
1. Correlate data sources in the MITRE ATT&amp;CK framework with those that triggered the Qradar or MSSP alert to identify Techniques and Tactics used.
2. Check with CTI team if similar TTPs have been detected in previous threat intelligence advisories or threat hunting exercises and other useful information to enhance threat context (e.g., match TTPs of active APT groups active in insurance industry).
3. Form preliminary analysis of triaged cyber threat (e.g. DDoS, malware infection, data leakage,
ransomware) based on identified TTPs.
4. Document identified Techniques and Tactics and additional information (e.g. Indicators of Attack and Compromise) into the open SDP ticket.</t>
  </si>
  <si>
    <t>IGPS 5-1-1 Security Events Monitoring Process V2.1, Qradar Security Event Monitoring &amp; Escalation, page 7</t>
  </si>
  <si>
    <t>IT Infra Operations</t>
  </si>
  <si>
    <t>IGPS 5-1-1 Security Events Monitoring Process V2.1, Qradar Security Event Monitoring &amp; Escalation, page 8</t>
  </si>
  <si>
    <r>
      <rPr>
        <b/>
        <sz val="12"/>
        <color theme="1"/>
        <rFont val="Helvetica"/>
        <family val="2"/>
      </rPr>
      <t>STEP 5.1:</t>
    </r>
    <r>
      <rPr>
        <sz val="12"/>
        <color theme="1"/>
        <rFont val="Helvetica"/>
        <family val="2"/>
      </rPr>
      <t xml:space="preserve"> Update Qradar Offense or MSSP Tracker
SOC team updates justification and other relevant information (e.g. remediation actions taken and closure
status) for verified detected or reported alerts in the Qradar Offense or MSSP Tracker and proceeds with
closure if issue has been resolved.</t>
    </r>
  </si>
  <si>
    <r>
      <rPr>
        <b/>
        <sz val="12"/>
        <color theme="1"/>
        <rFont val="Helvetica"/>
        <family val="2"/>
      </rPr>
      <t>STEP 4.2:</t>
    </r>
    <r>
      <rPr>
        <sz val="12"/>
        <color theme="1"/>
        <rFont val="Helvetica"/>
        <family val="2"/>
      </rPr>
      <t xml:space="preserve"> Update Qradar Offense or MSSP Tracker
SOC team updates justification for identified false positives for detected or reported alerts in the Qradar Offense or MSSP Tracker and proceeds with closure.</t>
    </r>
  </si>
  <si>
    <r>
      <rPr>
        <b/>
        <sz val="12"/>
        <color theme="1"/>
        <rFont val="Helvetica"/>
        <family val="2"/>
      </rPr>
      <t>Step 4.1:</t>
    </r>
    <r>
      <rPr>
        <sz val="12"/>
        <color theme="1"/>
        <rFont val="Helvetica"/>
        <family val="2"/>
      </rPr>
      <t xml:space="preserve"> Review information and triage / investigate (SOC team escalate to Head of IT
Security or inform IT Infra Operations/ Application Team to perform remediation)
IF incident NOT under CSIRT: proceed to </t>
    </r>
    <r>
      <rPr>
        <b/>
        <sz val="12"/>
        <color theme="1"/>
        <rFont val="Helvetica"/>
        <family val="2"/>
      </rPr>
      <t>step 5</t>
    </r>
    <r>
      <rPr>
        <sz val="12"/>
        <color theme="1"/>
        <rFont val="Helvetica"/>
        <family val="2"/>
      </rPr>
      <t xml:space="preserve">
ELSE: proceed to </t>
    </r>
    <r>
      <rPr>
        <b/>
        <sz val="12"/>
        <color theme="1"/>
        <rFont val="Helvetica"/>
        <family val="2"/>
      </rPr>
      <t>step 5.2</t>
    </r>
  </si>
  <si>
    <r>
      <rPr>
        <b/>
        <sz val="12"/>
        <color theme="1"/>
        <rFont val="Helvetica"/>
        <family val="2"/>
      </rPr>
      <t>STEP 5.2</t>
    </r>
    <r>
      <rPr>
        <sz val="12"/>
        <color theme="1"/>
        <rFont val="Helvetica"/>
        <family val="2"/>
      </rPr>
      <t>: Escalate Incident to Head of IT Security / CSIRT
SOC team should prepare justification with supporting artefact (“evidence”) documented in Qradar Offense or MSSP Tracker for Head of IT Security / CSIRT to provide situational awareness, support cybersecurity incident severity classification, inform decision to activate CSIRT and relevant playbooks based on triaged cyber incident type.
Perform impact assessment to categorize incident severity (Low/ Medium/ High).</t>
    </r>
  </si>
  <si>
    <t>Group Head of IT Security</t>
  </si>
  <si>
    <t>IGPS 5-1-1 Security Events Monitoring Process V2.1, Qradar Rule Review, Management and Monitoring, page 9-10</t>
  </si>
  <si>
    <r>
      <t xml:space="preserve">Qradar Rule Review, Management and Monitoring:
</t>
    </r>
    <r>
      <rPr>
        <b/>
        <sz val="12"/>
        <color theme="1"/>
        <rFont val="Helvetica"/>
        <family val="2"/>
      </rPr>
      <t>STEP 1:</t>
    </r>
    <r>
      <rPr>
        <sz val="12"/>
        <color theme="1"/>
        <rFont val="Helvetica"/>
        <family val="2"/>
      </rPr>
      <t xml:space="preserve"> Review and propose the rule change in Qradar Rules Tracker
review the existing Qradar Rules based on the current environment from time to time to meet the daily monitoring needs. The SOC analyst proposes a new or updated Qradar Rule in the Qradar Rules tracker.</t>
    </r>
  </si>
  <si>
    <t>Group IT Security- SOC Analyst</t>
  </si>
  <si>
    <r>
      <t xml:space="preserve">Qradar Rule Review, Management and Monitoring:
</t>
    </r>
    <r>
      <rPr>
        <b/>
        <sz val="12"/>
        <color theme="1"/>
        <rFont val="Helvetica"/>
        <family val="2"/>
      </rPr>
      <t xml:space="preserve">STEP 2: </t>
    </r>
    <r>
      <rPr>
        <sz val="12"/>
        <color theme="1"/>
        <rFont val="Helvetica"/>
        <family val="2"/>
      </rPr>
      <t>Review and approve the New/Updated Rule</t>
    </r>
  </si>
  <si>
    <t>Group IT Security – SOC Team Lead</t>
  </si>
  <si>
    <r>
      <t xml:space="preserve">Qradar Rule Review, Management and Monitoring:
</t>
    </r>
    <r>
      <rPr>
        <b/>
        <sz val="12"/>
        <color theme="1"/>
        <rFont val="Helvetica"/>
        <family val="2"/>
      </rPr>
      <t>STEP 3:</t>
    </r>
    <r>
      <rPr>
        <sz val="12"/>
        <color theme="1"/>
        <rFont val="Helvetica"/>
        <family val="2"/>
      </rPr>
      <t xml:space="preserve"> Implement the approved and endorsed Qradar Rule
Make changes by finetuning/ adding monitoring rules in Qradar. Update the rule status in Qradar Rule Tracker</t>
    </r>
  </si>
  <si>
    <r>
      <t>Qradar Rule Review, Management and Monitoring:</t>
    </r>
    <r>
      <rPr>
        <b/>
        <sz val="12"/>
        <color theme="1"/>
        <rFont val="Helvetica"/>
        <family val="2"/>
      </rPr>
      <t xml:space="preserve">
STEP 4: </t>
    </r>
    <r>
      <rPr>
        <sz val="12"/>
        <color theme="1"/>
        <rFont val="Helvetica"/>
        <family val="2"/>
      </rPr>
      <t>Validate and save the Qradar email alert on Qradar Rule change
The changes (creation, deletion, or modification) of the Qradar Rules will automatically trigger an email alert to the SOC lead. Review the rule change/modification based on email alert against alert tracker. Evidence of review will be filed.</t>
    </r>
  </si>
  <si>
    <t>Group IT Security – Head of IT Security</t>
  </si>
  <si>
    <r>
      <t>Qradar Rule Review, Management and Monitoring:</t>
    </r>
    <r>
      <rPr>
        <b/>
        <sz val="12"/>
        <color theme="1"/>
        <rFont val="Helvetica"/>
        <family val="2"/>
      </rPr>
      <t xml:space="preserve">
STEP 5</t>
    </r>
    <r>
      <rPr>
        <sz val="12"/>
        <color theme="1"/>
        <rFont val="Helvetica"/>
        <family val="2"/>
      </rPr>
      <t>: Submit Quarterly Report to Head of IT Security
Any changes requested by Head of IT Security will be executed via the same process.</t>
    </r>
  </si>
  <si>
    <r>
      <t>Qradar Rule Review, Management and Monitoring:</t>
    </r>
    <r>
      <rPr>
        <b/>
        <sz val="12"/>
        <color theme="1"/>
        <rFont val="Helvetica"/>
        <family val="2"/>
      </rPr>
      <t xml:space="preserve">
STEP 6:</t>
    </r>
    <r>
      <rPr>
        <sz val="12"/>
        <color theme="1"/>
        <rFont val="Helvetica"/>
        <family val="2"/>
      </rPr>
      <t xml:space="preserve"> Review and approve the new /updated Qradar Rule</t>
    </r>
  </si>
  <si>
    <r>
      <rPr>
        <b/>
        <sz val="12"/>
        <color theme="1"/>
        <rFont val="Helvetica"/>
        <family val="2"/>
      </rPr>
      <t>STEP 5.3</t>
    </r>
    <r>
      <rPr>
        <sz val="12"/>
        <color theme="1"/>
        <rFont val="Helvetica"/>
        <family val="2"/>
      </rPr>
      <t xml:space="preserve">: Activate CSIRT 
Output: Review justification and supporting evidence to activate CSIRT
Once CSIRT is confirmed activated for Medium/ High incident, inform IT Incident Manager via emailing to </t>
    </r>
    <r>
      <rPr>
        <i/>
        <sz val="12"/>
        <color theme="1"/>
        <rFont val="Helvetica"/>
        <family val="2"/>
      </rPr>
      <t>itsm-incident-problem@greateasternlife.com</t>
    </r>
    <r>
      <rPr>
        <sz val="12"/>
        <color theme="1"/>
        <rFont val="Helvetica"/>
        <family val="2"/>
      </rPr>
      <t xml:space="preserve"> to update the SDP request to incident.
Proceed to Incident Response Security Flow Chart in IGPS 5-3-1</t>
    </r>
  </si>
  <si>
    <t>IGPS 5-3-1 Computer Security Incident Response Team (CSIRT) Procedure for IT v2.12, Section 3, page 8</t>
  </si>
  <si>
    <t>SOC</t>
  </si>
  <si>
    <r>
      <rPr>
        <b/>
        <sz val="12"/>
        <color theme="1"/>
        <rFont val="Helvetica"/>
        <family val="2"/>
      </rPr>
      <t xml:space="preserve">STEP 3.1.1: </t>
    </r>
    <r>
      <rPr>
        <sz val="12"/>
        <color theme="1"/>
        <rFont val="Helvetica"/>
        <family val="2"/>
      </rPr>
      <t>SOC to collect information and perform incident triage to identify if the alert is a security incident.
IF security incident: Proceed to 3.1.2</t>
    </r>
  </si>
  <si>
    <r>
      <rPr>
        <b/>
        <sz val="12"/>
        <color theme="1"/>
        <rFont val="Helvetica"/>
        <family val="2"/>
      </rPr>
      <t>STEP 3.1.3</t>
    </r>
    <r>
      <rPr>
        <sz val="12"/>
        <color theme="1"/>
        <rFont val="Helvetica"/>
        <family val="2"/>
      </rPr>
      <t xml:space="preserve"> IT Security Lead to inform GTRM and the Management Tier if the Impact
assessment is High or Medium.</t>
    </r>
  </si>
  <si>
    <t>IT security lead</t>
  </si>
  <si>
    <t>IGPS 5-3-1 Computer Security Incident Response Team (CSIRT) Procedure for IT v2.12, Section 3, page 9</t>
  </si>
  <si>
    <t xml:space="preserve"> CSIRT Commander</t>
  </si>
  <si>
    <r>
      <rPr>
        <b/>
        <sz val="12"/>
        <color theme="1"/>
        <rFont val="Helvetica"/>
        <family val="2"/>
      </rPr>
      <t>STEP 3.1.2:</t>
    </r>
    <r>
      <rPr>
        <sz val="12"/>
        <color theme="1"/>
        <rFont val="Helvetica"/>
        <family val="2"/>
      </rPr>
      <t xml:space="preserve"> Impact assessment
SOC refers to Impact Assessment Matrix Handbook in Appendix B to ascertain Incident Severity and obtain concurrence from IT Security Lead</t>
    </r>
    <r>
      <rPr>
        <sz val="12"/>
        <color theme="1"/>
        <rFont val="Helvetica"/>
        <family val="2"/>
      </rPr>
      <t xml:space="preserve">
IF impact is LOW: proceed to 3.1.8
IF impact is MEDIUM: proceed to 3.1.4</t>
    </r>
  </si>
  <si>
    <r>
      <rPr>
        <b/>
        <sz val="12"/>
        <color theme="1"/>
        <rFont val="Helvetica"/>
        <family val="2"/>
      </rPr>
      <t>STEP 3.1.5</t>
    </r>
    <r>
      <rPr>
        <sz val="12"/>
        <color theme="1"/>
        <rFont val="Helvetica"/>
        <family val="2"/>
      </rPr>
      <t xml:space="preserve"> IT Security Lead to inform OCBC CSIRT.</t>
    </r>
  </si>
  <si>
    <r>
      <rPr>
        <b/>
        <sz val="12"/>
        <color theme="1"/>
        <rFont val="Helvetica"/>
        <family val="2"/>
      </rPr>
      <t>STEP 3.1.6</t>
    </r>
    <r>
      <rPr>
        <sz val="12"/>
        <color theme="1"/>
        <rFont val="Helvetica"/>
        <family val="2"/>
      </rPr>
      <t xml:space="preserve"> GTRM will engage with Local TRM to report the security incident to local
regulator.</t>
    </r>
  </si>
  <si>
    <t>Technology Risk Management (TRM)</t>
  </si>
  <si>
    <t>GTRM</t>
  </si>
  <si>
    <r>
      <rPr>
        <b/>
        <sz val="12"/>
        <color theme="1"/>
        <rFont val="Helvetica"/>
        <family val="2"/>
      </rPr>
      <t>STEP 3.1.7</t>
    </r>
    <r>
      <rPr>
        <sz val="12"/>
        <color theme="1"/>
        <rFont val="Helvetica"/>
        <family val="2"/>
      </rPr>
      <t xml:space="preserve"> Inform regulators (MAS)
For High and Medium security incident, GTRM will obtain concurrence from GCRO and notify GRC to report the security incident to MAS within 1 hour upon discovery of the incident</t>
    </r>
  </si>
  <si>
    <r>
      <rPr>
        <b/>
        <sz val="12"/>
        <color theme="1"/>
        <rFont val="Helvetica"/>
        <family val="2"/>
      </rPr>
      <t>STEP 3.1.8</t>
    </r>
    <r>
      <rPr>
        <sz val="12"/>
        <color theme="1"/>
        <rFont val="Helvetica"/>
        <family val="2"/>
      </rPr>
      <t xml:space="preserve"> Incident containment, eradication and recovery
The Incident Handler to perform containment, eradication and recovery according to the Computer Security Incident Response Team Handling Guidelines.</t>
    </r>
  </si>
  <si>
    <t>Incident handler</t>
  </si>
  <si>
    <t>Incident handler (appointed by CSRIT commander)</t>
  </si>
  <si>
    <r>
      <rPr>
        <b/>
        <sz val="12"/>
        <color theme="1"/>
        <rFont val="Helvetica"/>
        <family val="2"/>
      </rPr>
      <t>STEP 3.1.9</t>
    </r>
    <r>
      <rPr>
        <sz val="12"/>
        <color theme="1"/>
        <rFont val="Helvetica"/>
        <family val="2"/>
      </rPr>
      <t xml:space="preserve"> file security incident report, close case and incident tracking
For High and Medium severity, the Incident Handler to file Security Incident Reporting Form and to close Security Incident Tracking Worksheet (Sample in Appendix A). For High and Medium security incident reported to Regulator, the root cause and impact analysis shall be provided to Regulator within 14 days.</t>
    </r>
  </si>
  <si>
    <t>Form can be found in  in Computer Security Incident Response Team Handling Guidelines Appendix B</t>
  </si>
  <si>
    <t>OCBC CTI/MSSP</t>
  </si>
  <si>
    <t>3.2 Create Advisory
Alert Log SOC ITSEC creates Advisory Alert Log in MSS Alert Tracking. * In the event of primary SOC ITSEC personnel not able to attend due to his absence, backup personnel should act on his/her behalf.</t>
  </si>
  <si>
    <t>SOC (IT sec)</t>
  </si>
  <si>
    <t>IGPS 5-3-2 Security Vulnerability and IOC Advisory Response Procedure V3.4, Section 3 Handling Process for Indicators of Compromise (IOC) Advisories, page 5-6</t>
  </si>
  <si>
    <t>3.3 IOC or Vulnerability ? 
SOC ITSEC identify IOC or/and vulnerability information provided by MSSP or OCBC CTI.</t>
  </si>
  <si>
    <t>InfraSec</t>
  </si>
  <si>
    <t xml:space="preserve">3.5 Update/ Reply to MSSP/OCBC CTI
InfraSec will follow vulnerability handling process and update/reply to the MSSP/OCBC
CTI </t>
  </si>
  <si>
    <t>3.6 Perform Assessment
SOC ITSEC identify IOC information, such as source/destination IP, hashes, URLs or others based on information provided by MSSP or OCBC CTI.</t>
  </si>
  <si>
    <t>3.8 IOC Alert warrant immediate action
SOC ITSEC and IT Infra Operations team to confirm if counter measures are implemented. Counter measures include but not limited to ensure malicious IPs and URLs are blocked, as well as hashes are covered by antivirus software, or as per OCBC CTI/MSSP advice. 
If yes, go to 3.9 
Else, go to 3.11.</t>
  </si>
  <si>
    <t>SOC (IT sec) + InfraSec</t>
  </si>
  <si>
    <t>3.9 Perform IOC Blocking
IT Infra Operations team will perform IOC blocking by follow the OCBC CTI due date/MSSP advice.</t>
  </si>
  <si>
    <t>3.11 Update IOC Alert Log and Reply MSSP
SOC ITSEC to update status and close IOC Alert Log &gt; MSS Alert Tracking. Once action has been taken, update MSSP/OCBC CTI to mention on the action taken or results of investigation. SOC ITSEC must reply within the stated due date set by OCBC CTI / MSSP</t>
  </si>
  <si>
    <t>2.3 Impact analysis
Incident Handler should determine the severity and impact of the incident, as guided in the
Impact Assessment Matrix</t>
  </si>
  <si>
    <t>Impact analysis matrix:</t>
  </si>
  <si>
    <t>Refer to matrix in sheet 2</t>
  </si>
  <si>
    <t>2.4 Escalation and Incident Handling
2.4.1 For High Severity Incident, Incident Handler will escalate to Head of IT Security</t>
  </si>
  <si>
    <t>Severity Alert</t>
  </si>
  <si>
    <t>Reference</t>
  </si>
  <si>
    <t>High</t>
  </si>
  <si>
    <t>Medium</t>
  </si>
  <si>
    <t>Low</t>
  </si>
  <si>
    <t>A possible misconfiguration and the likelihood of the system being compromised is extremely low</t>
  </si>
  <si>
    <t>Possibility of an attack and system being compromise is uncertain (until further investigation)</t>
  </si>
  <si>
    <t>An attack is successful and likelihood of the system being compromised is high</t>
  </si>
  <si>
    <t>Refer to severity level in sheet 2</t>
  </si>
  <si>
    <t>2.4.2 Security Incident Reporting Form in Appendix B will be completed by SOC team. 
2.4.3 Prioritize the incident handling, based on the resources impacted and the technical effect (network isolation, shutting down of servers, etc.) from the incident. 
2.4.4 Notify appropriate internal personnel and external organizations.</t>
  </si>
  <si>
    <t>2.2.5 Data collection
1. Interviewing system administrators / technical support staff who might have insight into the technical details of the incident.
2. Profile the affected network and systems to detect abnormal trends. (E.g. monitoring network bandwidth usage and host resource usage against expected usage)
3. Record the following volatile information:
i. The system date and time
ii. The applications currently running on the system
iii. The currently established network connections
iv. The currently open sockets (ports)
v. The applications listening on the open sockets
vi. The state of the network interface (promiscuous or not)</t>
  </si>
  <si>
    <t>2.2.5 Data collection
Interviewing business unit personnel who might have insight into business events that may provide context for the incident.</t>
  </si>
  <si>
    <t>2.2.5 Data collection
Reviewing intrusion detection reports and network-based logs to identify data that
would support that an incident had occurred.</t>
  </si>
  <si>
    <t>2.2.5 Data collection
Examine system audit logs to determine any unauthorized system activities and
unusual powerful IDs activities.</t>
  </si>
  <si>
    <t>2.2.5 Data collection
Correlate the events from routers, firewalls, intrusion detection systems to determine if the attack is launched against a particular host. Then, examine the host‘s logs to determine if the attack is successful.</t>
  </si>
  <si>
    <t>2.2.5 Data collection
Analyze the network topology and router / firewall access control lists to determine if any avenue of attack can be ruled out.</t>
  </si>
  <si>
    <t>2.2.5 Data collection
Research public security mailing lists that may have related incident response or intrusion detection archives.</t>
  </si>
  <si>
    <t>2.2.5 Data collection
Seek assistance from local CERT for analysis, containment and eradication when required.</t>
  </si>
  <si>
    <t>IGPS 5-4-1 Computer Security Incident Response Team
(CSIRT) Handling Guideline for IT, Section 2.2, page 8</t>
  </si>
  <si>
    <t>Incident Handler</t>
  </si>
  <si>
    <t>IGPS 5-4-1 Computer Security Incident Response Team
(CSIRT) Handling Guideline for IT, Section 2.2.5, page 9</t>
  </si>
  <si>
    <t>IGPS 5-4-1 Computer Security Incident Response Team
(CSIRT) Handling Guideline for IT, Section 2.3, page 10</t>
  </si>
  <si>
    <t>IGPS 5-4-1 Computer Security Incident Response Team
(CSIRT) Handling Guideline for IT, Section 2.4, page 10</t>
  </si>
  <si>
    <t>IGPS 5-4-1 Computer Security Incident Response Team
(CSIRT) Handling Guideline for IT, Section 2.5, page 10</t>
  </si>
  <si>
    <t>2.6  Containment, Eradication and Recovery</t>
  </si>
  <si>
    <t>2.5 Declaration of incidents response initiation
2.5.1 SOC analyst on duty team will communicate with SOC Lead Team on a confirmed security incident.
2.5.2 SOC Lead will analyze with reference to MITRE ATT&amp;CK Framework and escalate to the
Head of IT Security.
2.5.3 Head of IT Security will communicate with CSIRT commander on containment, eradication and recovery process.</t>
  </si>
  <si>
    <t>2.6.3 Eradication
Identify and mitigate all vulnerabilities that were exploited; such as: 
i. Determine the nature of the incident in enough detail to understand how the security breach occurred and what host-based or network-based remedies are required to address it. 
ii. Determine if there are underlying or systemic causes for the incident.</t>
  </si>
  <si>
    <t>2.6.3 Eradication
Remove malicious code, inappropriate materials and disabling breached accounts</t>
  </si>
  <si>
    <t>2.6.4 Recovery
Return affected systems to an operationally ready state. Recovery may involve such actions as:
i. Restoring systems from clean backups,
ii. Rebuilding systems,
iii. Replacing compromised files with clean versions,
iv. Installing patches,
v. Changing passwords; and
vi. Tightening network perimeter security (e.g. firewall rule sets, boundary router access control lists).</t>
  </si>
  <si>
    <t>2.6.4 Recovery
Confirm that affected systems are functioning normally</t>
  </si>
  <si>
    <t>2.6.4 Recovery
Validate that remedial steps or countermeasures are effective</t>
  </si>
  <si>
    <t>2.6.4 Recovery
If necessary, implement additional monitoring to detect future intrusions</t>
  </si>
  <si>
    <t>2.6.4 Recovery
Apprise all relevant internal parties on the outcome of recovery measures.</t>
  </si>
  <si>
    <t>Containment, eradication and recovery steps are not mandatory to be implemented in fixed sequence. For common security incidents, it provides the general guidelines to handle the incident in the more controlled and efficient manner</t>
  </si>
  <si>
    <t>2.7 Post Incident Activity</t>
  </si>
  <si>
    <t>2.7.1 Forensic Analysis – Post Containment
Acquire, preserve, secure and document evidence.</t>
  </si>
  <si>
    <t>2.7.1 Forensic Analysis – Post Containment
Capture volatile information that may not be recorded in a file system or image backup.</t>
  </si>
  <si>
    <t>2.7.1 Forensic Analysis – Post Containment
Perform full disk image of the affected system(s). Consideration has to be made as to
whether a disk image or standard file system backup should be used for computer
forensic purposes.
Computer forensic software (such as Encase) is superior over standard file system
backup for the following reasons:
i. Full disk image, which includes deleted files and file fragments;
ii. Reliable environment to:
o Identify and recover file fragments and hidden and deleted files and
directories.
o Examine file structures, headers and data.
o Display graphic contents.
o Do keyword searches.
o Preserve the original evidence. Before working on the first copy, a second
full backup should be made and stored securely for future use if law
enforcement becomes involved</t>
  </si>
  <si>
    <t>2.7.1 Forensic Analysis – Post Containment
Obtaining a disk image using Encase would require shutting down the system. Incident
Handler or Response Team would have to decide if the business impact of taking down
the system outweighs the risk of keeping the system operational.</t>
  </si>
  <si>
    <t>2.7.1 Forensic Analysis – Post Containment
Evidence Retention
Incident Handler should seek Legal Counsel’s advice on evidence retention period.</t>
  </si>
  <si>
    <t>2.7.2 SOC Team will create a follow-up report that documents the following:
a. Actions that could have prevented the incident.
b. Estimate of damage/impact.
c. Resources used.
d. Action taken during the incident.
e. Follow-on efforts needed to eliminate or mitigate the vulnerability.
f. Policies or procedures that require updating.
g. Chronological log and any system audit logs used in the incident response process.
h. Submit the completed report to Information Security Lead and notify CSIRT Commander
on a regular basis for situational updates when necessary.</t>
  </si>
  <si>
    <t>SOC Team</t>
  </si>
  <si>
    <t>2.7.3 SOC team to complete the Regulator’s Incident Reporting Form and submit to Head of IT Security.</t>
  </si>
  <si>
    <t xml:space="preserve">2.7.4 SOC team will hold a lesson learned meeting to:
a. Review the incident response process to identify opportunities for improvement.
b. Determine if the appropriate resources (tools, information, personnel, skills and outside
support) were available when needed. </t>
  </si>
  <si>
    <t>IGPS 5-4-1 Computer Security Incident Response Team
(CSIRT) Handling Guideline for IT, Section 2.7, page 12</t>
  </si>
  <si>
    <t>IGPS 5-4-1 Computer Security Incident Response Team
(CSIRT) Handling Guideline for IT, Section 2.7, page 13</t>
  </si>
  <si>
    <t>IGPS 5-4-1 Computer Security Incident Response Team
(CSIRT) Handling Guideline for IT, Section 2.6, page 11</t>
  </si>
  <si>
    <t>IGPS 5-4-1 Computer Security Incident Response Team
(CSIRT) Handling Guideline for IT, Section 2.6, page 10</t>
  </si>
  <si>
    <t>IGPS 5-4-1 Computer Security Incident Response Team
(CSIRT) Handling Guideline for IT, Section 2.6, page 12</t>
  </si>
  <si>
    <t>IGPS 5-4-1 Computer Security Incident Response Team
(CSIRT) Handling Guideline for IT, Section 2.6, page 11-12</t>
  </si>
  <si>
    <t>2.6.2 Containment
Incident Handler should seek appropriate approval, if containment requires to: 
i. Shutdown the system; 
ii. Disconnect it from the network; or 
iii. Disable certain functions.</t>
  </si>
  <si>
    <t>2.6.2 Containment
Avoid using obvious methods such as “ping” or “ns lookup” which could alert the attacker. The attacker could cause additional damage, such as wiping out evidence of the attack. The team should consider concealing the IP origin when performing such validations.</t>
  </si>
  <si>
    <t>2.6.2 Containment
Change passwords on the compromised system and on all systems that interact with the compromised systems.</t>
  </si>
  <si>
    <t>2.6.2 Containment
Protecting system(s) and data should take precedence over identifying the hacker.</t>
  </si>
  <si>
    <t>perform forensic duplication</t>
  </si>
  <si>
    <t>Analysis of data
- Extract email and attahments
- review installed applications
- search for relevant strings
- perform software analysis
- perform file by file review
- review browser history files
- review data collected during live response
- review all network based evidence
- Identify and decrypt encrypted files
- perform specialised analysis</t>
  </si>
  <si>
    <t>preperation of data
1. create working copy of All media evidence
- create file lists
- revocer deleted data
- recover unallocated space
- Perform statistical data partition table file systems
- perform file signature analysis
- identify known system files</t>
  </si>
  <si>
    <t>2.6.1 Forensic Analysis – Prior Containment
1. Acquire, preserve, secure and document evidence.</t>
  </si>
  <si>
    <t>2.6.1 Forensic Analysis - Prior Containment
2. Capture volatile information that may not be recorded in a file system or image backup</t>
  </si>
  <si>
    <t>2.6.1 Forensic Analysis - Prior Containment
3. Perform full disk image of the affected system(s). Consideration has to be made as to whether a disk image or standard file system backup should be used for computer forensic purposes.
Computer forensic software (such as Encase) is superior over standard file system backup for the following reasons:
i. Full disk image, which includes deleted files and file fragments;
ii. Reliable environment to:
o Identify and recover file fragments and hidden and deleted files and directories.
o Examine file structures, headers and data.
o Display graphic contents.
o Do keyword searches.
o Preserve the original evidence. Before working on the first copy, a second full backup should be made and stored securely for future use if law enforcement becomes involved.</t>
  </si>
  <si>
    <t>2.6.1 Forensic Analysis - Prioir Containment
Obtaining a disk image using Encase would require shutting down the system. Incident Handler or Response Team would have to decide if the business impact of taking down the system outweighs the risk of keeping the system operational.</t>
  </si>
  <si>
    <t>2.6.1 Forensic Analysis - Prior Containment
Evidence Retention: Incident Handler should seek Legal Counsel’s advice on evidence retention period.</t>
  </si>
  <si>
    <t>2.6.1 Forensic Analysis - Prior Containment
Chain of Custody for original evidence to be documented to ensure the integrity</t>
  </si>
  <si>
    <t>2.7.1 Forensic Analysis – Post Containment
Forensic Analysis process:</t>
  </si>
  <si>
    <t>Section 2.2 Detection and Analysis
The incident handler should analyze and validate each incident. Steps taken should be
documented.
Includes performing triage to verify if the event is a real computer security incident and assess the severity of the incident. This stage is very crucial to rule out any FalsePositive or False-Alarm events that might not be qualified to be classified as computer security incident
The initial response is to determine the incident’s scope such as,
a. Is it caused by a known threat?
b. Is there any fact that can support it is a security incident?
c. Which networks, systems or applications are affected;
d. Who or what originated the incident; and
e. How the incident is occurring (e.g. what tools or attack methods are being used, what vulnerabilities are being exploited.</t>
  </si>
  <si>
    <t>CSIRT Incident Handling life cycle</t>
  </si>
  <si>
    <t>Forensic analysis process</t>
  </si>
  <si>
    <t>Forensic analysis process (refer to section below)</t>
  </si>
  <si>
    <t>Handling Denial of Service Incidents - A denial of service (DOS) occurs when an attack prevents or impairs the authorized use of networks, systems, or applications.</t>
  </si>
  <si>
    <t>IGPS 5-4-1 Computer Security Incident Response Team
(CSIRT) Handling Guideline for IT, Appendix E-1, page 23-24</t>
  </si>
  <si>
    <t>7.2 Detection and Analysis
Possible indicators for malicious actions against Host:
▪Alert from MSSP or ISP
▪ System unavailability.
▪ Unexplained connection losses
▪ Significant increase in network bandwidth utilization
▪ Large number of one-way connections to a single host
▪ Firewall and router log entries
▪ System and application log entries
▪ Packets with unusual source addresses</t>
  </si>
  <si>
    <t>7.2 Detection and Analysis
Possible indicators for malicious actions against Network:
▪ Alert from MSSP or ISP
▪ System and network unavailability
▪ Unexplained connection losses
▪ Significant increase in network bandwidth utilization, resulting in slow access in the network
▪ Firewall and router log entries
▪ Packets with unusual source addresses
▪ Packets with nonexistent destination addresses</t>
  </si>
  <si>
    <t>IGPS 5-4-1 Computer Security Incident Response Team
(CSIRT) Handling Guideline for IT, Appendix E-1, Section 7.2, page 23</t>
  </si>
  <si>
    <t>IGPS 5-4-1 Computer Security Incident Response Team
(CSIRT) Handling Guideline for IT, Appendix E-1, Section 7.3, page 24</t>
  </si>
  <si>
    <t>7.3 Containment
7.3.1 Review logs entries.</t>
  </si>
  <si>
    <t xml:space="preserve">7.3.2 Identify source of attacks from observed traffic.
</t>
  </si>
  <si>
    <t>7.3.3 Inform MSSP or ISP to heighten their monitoring, and seek assistance to trace the source
of attack.</t>
  </si>
  <si>
    <t>7.3.5 Identify system vulnerabilities.</t>
  </si>
  <si>
    <t>7.3.6 Implement network filtering on firewall
a. Block the source IP address and/or protocol used in the DOS attack
b. Permit only certain number of packets to use a specific protocol or contact to a certain
host.</t>
  </si>
  <si>
    <t>7.3.8 Seek ISP (e.g. Maxis/Time) assistance in blocking the attack; i.e. DDOS protection clean
pipe activation. If feasible, temporary block all traffic except MY-SG-ID ISP. Monitor traffic
for improvement.</t>
  </si>
  <si>
    <t>7.4 Eradication and Recovery
7.4.1 Apply patches to eradicate the vulnerabilities the attacker exploited to cause denial of
service.</t>
  </si>
  <si>
    <t>7.4.2 Implement system security configuration or remove any system mis-configuration.</t>
  </si>
  <si>
    <t>IGPS 5-4-1 Computer Security Incident Response Team
(CSIRT) Handling Guideline for IT, Appendix E-1, Section 7.4, page 24</t>
  </si>
  <si>
    <t>Handling of Malware Incidents - Malware refers to virus, worm, Trojan horse, or other code-based malicious entity (scripts) that infects a computer host. They could be used by crackers/hackers to gain privileges, capture passwords, and/or modify audit logs to exclude unauthorized activity.</t>
  </si>
  <si>
    <t>8.2 Detection and Analysis
Precursors - New Virus Alert
Response:
• Analyzing any suspected malware incident and validating that malware is the cause. This includes identifying characteristics of the malware activity by examining detection sources, such as antivirus software, intrusion prevention systems, and security information and event management (SIEM) technologies.
• Ensure that antivirus software is updated with virus signatures for the new malicious code.</t>
  </si>
  <si>
    <t>8.2 Detection and Analysis
Possible Indicators of malicious action - spread through email:
▪ Alert from antivirus software
▪ Sudden increase in the number of e-mails sent or received from unknown sources
▪ Deleted, corrupted, or inaccessible files
▪ Unusual messages and graphics
▪ System crawls or slows down to a halt or crashes
▪ False negative detection from malicious email</t>
  </si>
  <si>
    <t>8.2 Detection and Analysis
Possible Indicators of malicious action - worm infecting host:
▪ Alert from antivirus software
▪ Unexplained port scans and failed connection attempts
▪ Increased network usage
▪ Unexplained messages and graphics
▪ System crawls or slows down to a halt or crashes</t>
  </si>
  <si>
    <t>8.2 Detection and Analysis
Possible Indicators of malicious action - trojan horse installed on host:
▪ Alert from antivirus software
▪ Alert from IDS on unauthorized connections
▪ Failed connections at firewall and router log entries of unknown remote systems
▪ Unexplained ports open
▪ Unknown/unexplained processes running on infected host
▪ High amounts of network traffic generated by infected host to external host(s)
▪ System crawls or slows down to a halt or crashes
▪ Unexpected dialog boxes, requesting permission to do something
▪ Unusual graphics, such as overlapping or overlaid message boxes</t>
  </si>
  <si>
    <t>8.2 Detection and Analysis
Possible Indicators of malicious action - Hoaxes/Phishing:
▪ Message claims to originate from an authoritative group, a government agency, a bank or an important official person
▪ Tone and terminology attempt to invoke panic or a sense of urgency
▪ Urges recipients to delete certain files and forward the message to others
▪ Urges recipients to release user credentials, credit card numbers, etc.</t>
  </si>
  <si>
    <t>8.3 Containment
8.3.1 Identify infected hosts
a. Review firewall and router logs
b. Review Bluecoat proxy logs
c. Review NIPS logs</t>
  </si>
  <si>
    <t>8.3.2 Identify virus
a. Review antivirus alert messages
b. Send virus codes to antivirus vendors
c. Investigate how the virus propagates
d. Assess the running processes on the infected host.</t>
  </si>
  <si>
    <t>8.3.3 Identify botnets
a. Investigate any command and control channels</t>
  </si>
  <si>
    <t>8.3.5 Apply indicator of compromise (IoC) to relevant security devices for protection (e.g. hash
values into SEP and EDR for hasbanning, or IP to firewall/IPS to prevent virus from
communicating with external command and control systems)</t>
  </si>
  <si>
    <t>8.4 Eradication and Recovery
8.4.1 Disinfect virus
a. Use Antivirus and Antispyware with the latest Digital Vaccine to disinfect the infected files
b. Alternatively, use cleanup tools provided by antivirus vendor to scan infected host.
c. If the malicious code potentially gained root-level access, restore system from knowngood state or rebuild system from scratch</t>
  </si>
  <si>
    <t>8.3.4 Prevent propagation of virus
a. Isolate infected host (via EDR tools)
b. Disconnect infected hosts from the network. (via cable removal, or any appropriate security device e.g. NAC)
c. Configure firewall or router/switch to isolate the network segment of infected hosts.
d. Disconnect File Servers from the network</t>
  </si>
  <si>
    <t>8.4.2 Apply the patch to eradicate the vulnerabilities the virus exploited to infect the system.
Reconnect File Servers, unblock network segments and de-isolate host</t>
  </si>
  <si>
    <t>IGPS 5-4-1 Computer Security Incident Response Team
(CSIRT) Handling Guideline for IT, Appendix E-2, Section 8.2, page 25</t>
  </si>
  <si>
    <t>IGPS 5-4-1 Computer Security Incident Response Team
(CSIRT) Handling Guideline for IT, Appendix E-2, Section 8.2, page 26</t>
  </si>
  <si>
    <t>IGPS 5-4-1 Computer Security Incident Response Team
(CSIRT) Handling Guideline for IT, Appendix E-2, Section 8.3, page 26</t>
  </si>
  <si>
    <t>HANDLING OF UNAUTHORIZED ACCESS INCIDENTS / WEB DEFACEMENT - Unauthorized access occurs when a person gains logical or physical access without permission to
a network, system, application, data, or other computing resource.</t>
  </si>
  <si>
    <t>9.2 Detection and analysis
Possible indicators of Root compromise:
▪ Existence of unauthorized security-related tools or exploits
▪ Unusual traffic to and from the host
▪ System configuration changes, including—
o Process/service modifications or additions
o Unexpected open ports
o System status changes (restarts, shutdowns)
o Changes to log and audit policies and data
o Network interface card set to promiscuous mode
(packet sniffing)
o New administrative-level user account or group
▪ Modifications of critical files, timestamps and privileges
▪ Unexplained account usage
▪ Significant changes in expected resource usage
▪ User reports of system unavailability
▪ New files or directories with unusual names
▪ Significant increase of operating system and application
log messages</t>
  </si>
  <si>
    <t xml:space="preserve">9.2 Detection and analysis
Possible indicators of Network Defacement/compormise of web server:
▪ Network intrusion detection alerts
▪ Increased resource utilization
▪ Modifications to critical files
▪ New files or directories with unusual names
▪ Significant changes in expected resource usage </t>
  </si>
  <si>
    <t>9.2 Detection and analysis
Possible indicators of Unauthorised data access:
▪ Intrusion detection alerts of attempts to gain access to the
data through FTP, HTTP, SQL Injection, Cross Site
Scripting (XSS) and other protocols
▪ Host-recorded access attempts to critical files</t>
  </si>
  <si>
    <t>9.2 Detection and analysis
Possible indicators of Physical intruder:
▪ User reports of network or system unavailability
▪ System status changes (restarts, shutdowns)
▪ Hardware is completely or partially missing
▪ Unauthorized new hardware</t>
  </si>
  <si>
    <t xml:space="preserve">9.2 Detection and analysis
Possible indicators of Unauthorised use of user account:
▪ Access attempts to password files
▪ Unexplained account usage 
▪ Web proxy log entries showing the download of hacker tools. </t>
  </si>
  <si>
    <t>9.3 Containment 
9.3.1 Isolate the affected systems or disable the affected service. For web defacement cases, take down the server and put up maintenance page.</t>
  </si>
  <si>
    <t>9.3.2 Block attacker’s access to vulnerable service or system.</t>
  </si>
  <si>
    <t xml:space="preserve"> 9.3.3 Disable user account that may have been used in the attack</t>
  </si>
  <si>
    <t xml:space="preserve"> 9.3.4 Lock-down physical access.</t>
  </si>
  <si>
    <t xml:space="preserve"> 9.3.5 Inform MSSP and ISP to heighten their monitoring.</t>
  </si>
  <si>
    <t>9.4 Eradication and Recovery
9.4.1 Restore system from known-good state or rebuild system from scratch.</t>
  </si>
  <si>
    <t>9.4.2 Apply the patch to eradicate the vulnerabilities the attacker exploited to gain unauthorized access.</t>
  </si>
  <si>
    <t>IGPS 5-4-1 Computer Security Incident Response Team
(CSIRT) Handling Guideline for IT, Appendix E-2, Section 8.4, page 27</t>
  </si>
  <si>
    <t>IGPS 5-4-1 Computer Security Incident Response Team
(CSIRT) Handling Guideline for IT, Appendix E-2, Section 8.4, page 26</t>
  </si>
  <si>
    <t>IGPS 5-4-1 Computer Security Incident Response Team
(CSIRT) Handling Guideline for IT, Appendix E-3, Section 9.2, page 28</t>
  </si>
  <si>
    <t>IGPS 5-4-1 Computer Security Incident Response Team
(CSIRT) Handling Guideline for IT, Appendix E-3, Section 9.2, page 29</t>
  </si>
  <si>
    <t>IGPS 5-4-1 Computer Security Incident Response Team
(CSIRT) Handling Guideline for IT, Appendix E-3, Section 9.3, page 29</t>
  </si>
  <si>
    <t>IGPS 5-4-1 Computer Security Incident Response Team
(CSIRT) Handling Guideline for IT, Appendix E-3, Section 9.4, page 29</t>
  </si>
  <si>
    <t>HANDLING OF MISUSE INCIDENTS Misuse occurs when a person violates acceptable computing use policies.</t>
  </si>
  <si>
    <t>10.2 Detection and Analysis
Possible indicators of malicious action - unauthorised usage of user account:
▪ Access attempts to password files
▪ Unexplained account usage
▪ Web proxy log entries showing the download of hacker tools</t>
  </si>
  <si>
    <t>10.2 Detection and Analysis
Possible indicators of malicious action - access/downloading of pornography:
▪ Network intrusion detection alerts
▪ Application log entries
▪ Inappropriate files on workstations, servers, or removable media</t>
  </si>
  <si>
    <t>10.2 Detection and Analysis
Possible indicators of malicious action - attack against external party:
▪ Network intrusion detection alerts
▪ Outside party reports
▪ Network, host, and application log entries</t>
  </si>
  <si>
    <t>10.3 Containment
10.3.1 Security awareness</t>
  </si>
  <si>
    <t>10.3.2 Take appropriate disciplinary actions by human resources.</t>
  </si>
  <si>
    <t>10.3.3 Improve security controls where appropriate and applicable</t>
  </si>
  <si>
    <t>HANDLING OF SOCIAL ENGINEERING INCIDENTS
Phishing occurs when a person attempted to acquire sensitive information such as usernames,
passwords and credit card details by masquerading as a trustworthy entity in an electronic
communication.</t>
  </si>
  <si>
    <t>11.2 Detection and analysis
possible indicators of new phishing emails/sites
▪ Domain name alerts
▪ Outside party reports
▪ Web Server logs showing unusual referrers headers</t>
  </si>
  <si>
    <t>11.3 Containment 11.3.1 Pre-empt Customer Call Centre on possible phone calls from customers.</t>
  </si>
  <si>
    <t>11.3.2 Inform Group Risk for reporting to relevant regulatory authority, if required.</t>
  </si>
  <si>
    <t>11.3.3 If there are reported cases of customer accounts being compromised: -
a. CSIRT should be notified.
b. Group Corporate Communications (GCC) should be notified.
c. Fraud Management / ORM should be notified.
d. Customers should be advised to change the password as soon as possible.
e. Take note of the transaction history of affected customer with the assistance from IT
Custodian.
f. Review transaction logs for any suspicious transactions with the assistance from IT
Custodian.</t>
  </si>
  <si>
    <t>11.4 Eradication and Recovery
11.4.1 Acquire relevant contact information from the following parties to contact and assist in the
take down of the phishing site/ email account:
a. Webhosting company or Website ISP’s email addresses and telephone numbers.
b. DNS Registrar email addresses and telephone numbers.
c. DNS Authority Server company email addresses and telephone numbers.
d. CSIRT of the relevant web hosting and registrar’s country (email addresses).
e. Digital Phishnet.
f. AntiPhishing.Org (reportphishing@antiphishing.org)
g. CERT of country that website is located in (email addresses).</t>
  </si>
  <si>
    <t>11.4.2 Take down the offending website or email account.
NOTE: It may not always be possible to take down an email account involved in an email
related scam incident. The recommendation is to monitor if there are any reported cases
for a period of time, for example 2 weeks, from the point of notification to email hosting
company. If there are no further reported cases, the incident is closed.</t>
  </si>
  <si>
    <t>HANDLING OF COMPROMISED OF DATA INCIDENTS</t>
  </si>
  <si>
    <t>12.2 Detection and Analysis
possible indicators of webserver compromise with webshell
▪ Network intrusion detection alerts
▪ Increased resource utilization
▪ Webshell detected
▪ New files or directories with unusual names
▪ Web Server logs showing unusual large file transfer</t>
  </si>
  <si>
    <t>12.3 Containment 12.3.1 Take the server offline if confirmed the data is compromised and exfiltrated from the Active Directory / database / files server.</t>
  </si>
  <si>
    <t>12.3.2 Perform reset of the credential used by the accounts, if confirmed to be compromised.</t>
  </si>
  <si>
    <t>12.3.3 Pre-empt Customer Call Centre on possible phone calls from customers.</t>
  </si>
  <si>
    <t>12.3.4 Inform Group Risk for reporting to relevant regulatory authority, if required.</t>
  </si>
  <si>
    <t>12.3.5 If there are reported cases of customer accounts being compromised:
 a. CSIRT should be notified. b. Group Corporate Communications (GCC) should be notified. c. Fraud Management / ORM should be notified. d. Customers should be advised to change the password as soon as possible. e. Take note of the transaction history of affected customer with the assistance from IT Custodian. f. Review transaction logs for any suspicious transactions with the assistance from IT Custodian.</t>
  </si>
  <si>
    <t>12.4 Eradication and Recovery
12.4.1 Restore the taken down server for service resumption once the identified loophole has been
patched or eliminated.</t>
  </si>
  <si>
    <t>IGPS 5-4-1 Computer Security Incident Response Team
(CSIRT) Handling Guideline for IT, Appendix E-4, Section 10.3, page 30</t>
  </si>
  <si>
    <t>IGPS 5-4-1 Computer Security Incident Response Team
(CSIRT) Handling Guideline for IT, Appendix E-4, Section 10.2, page 30</t>
  </si>
  <si>
    <t>IGPS 5-4-1 Computer Security Incident Response Team
(CSIRT) Handling Guideline for IT, Appendix E-5, Section 11.2, page 31</t>
  </si>
  <si>
    <t>IGPS 5-4-1 Computer Security Incident Response Team
(CSIRT) Handling Guideline for IT, Appendix E-5, Section 11.3, page 31</t>
  </si>
  <si>
    <t>IGPS 5-4-1 Computer Security Incident Response Team
(CSIRT) Handling Guideline for IT, Appendix E-5, Section 11.4, page 31</t>
  </si>
  <si>
    <t>IGPS 5-4-1 Computer Security Incident Response Team
(CSIRT) Handling Guideline for IT, Appendix E-6, Section 12.2, page 32</t>
  </si>
  <si>
    <t>IGPS 5-4-1 Computer Security Incident Response Team
(CSIRT) Handling Guideline for IT, Appendix E-6, Section 12.3, page 32</t>
  </si>
  <si>
    <t>IGPS 5-4-1 Computer Security Incident Response Team
(CSIRT) Handling Guideline for IT, Appendix E-6, Section 12.4, page 32</t>
  </si>
  <si>
    <t>BDCB required requires financial institutions (“FIs”) to notify BDCB within 1 hour on any computer security incident or after the discovery of a suspected incident either via email, phone call or other authorised communication channel that affecting the institution.</t>
  </si>
  <si>
    <t>BNM requires financial institutions (“FIs”) to notify BNM immediately on any computer security incident that is affecting the institution. Upon completion of investigation, financial institution is also required to submit the report on incident as specific in ORION reporting. Notification must be submitted to the Unit “Pakar Risiko dan Penyelian IT”, Bank Negara Malaysia.</t>
  </si>
  <si>
    <t xml:space="preserve">The notice on Technology Risk Management (“the Notice”) requires financial institutions (“FIs”) to
notify MAS as soon as possible, but must be less than 1 hour, upon the discovery of the relevant
incident. </t>
  </si>
  <si>
    <t>SOC team will need to fill up the security incident reporting form (Appendix B) for all types of security incidents: Medium and High. If the incident is High, CSIRT is activated and reporting to MAS regulator need to commence within 1 hour and this will be referring to the IT Incident Notification &amp; Reporting Process to Regulators reporting template to regulator. In total there are two reports/forms need to be filled up by SOC team. Information to be filled in the regulator reporting template will be populated based on security incident reporting form.</t>
  </si>
  <si>
    <t>For the first notification, FIs should contact their respective MAS review officer (RO) during MAS
office hours (Monday to Friday: 0830 – 1800) via phone. FIs may contact the MAS Duty Officer (DO)
via the 24-hour MAS BCM hotline (+6597174201) outside office hours or if the MAS RO is not
reachable.
This information should be furnished alongside the report:
A. Particulars of person making the report:
i. Name of the institution
ii. Name of the reporting staff
iii. Designation and department; and
iv. Mobile and office number
B. Information pertaining to the relevant incident
i. What happened
ii. When did it happen
iii. How did it happen
iv. Where did it happen
v. What was the impact?</t>
  </si>
  <si>
    <t>After the first notification, FIs may be requested to provide further updates on the relevant incident subsequently. The notice requires root-cause and impact analysis report (“IT incident report”) to be submitted to MAS, within 14 days or such longer period as MAS may allow, from the discovery of the relevant incident.</t>
  </si>
  <si>
    <t>Financial institutions are required to provide six (6) keys of information (the factors and sub-factors) according to the classification in ORION Cyber Incident Scoring System (CISS) provided by BNM. CISS, which is included into the security incident reporting form in Appendix B.</t>
  </si>
  <si>
    <t>SOC team will need to fill up the security incident reporting form (Appendix B) for all types of security incidents: Medium and High. If the incident is High, CSIRT is activated and reporting to BNM regulator need to commence immediately after confirmation and this will be referring to the IT Incident Notification &amp; Reporting Process to Regulators reporting template to regulator</t>
  </si>
  <si>
    <t>In total there are two reports/forms need to be filled up by SOC team. Information to be filled in the regulator reporting template will be populated based on security incident reporting form.</t>
  </si>
  <si>
    <t>The following is the general information provided by BNM regulator on the requirements of the incident reporting. This information should be furnished alongside the report: A. Particulars of person making the report: i. Name of the institution ii. Name of the reporting staff iii. Designation and department; and iv. Mobile and office number B. Information pertaining to the relevant incident i. What happened ii. When did it happen iii. How did it happen iv. Where did it happen v. What was the impact?</t>
  </si>
  <si>
    <t>IT Incident Management Team and CSIRT Team shall assess the suspected incident and notify Technology Risk of BDCB no later than two (2) hours after first discovery of the suspected incident.</t>
  </si>
  <si>
    <t>SOC team will need to fill up the security incident reporting form (Appendix B) for all types of security incidents: Medium and High. If the incident is High, CSIRT is activated and reporting to BDCB regulator need to commence within 1 hour after confirmation and this will be referring to the IT Incident Notification &amp; Reporting Process to Regulators reporting template to regulator. In total there are two reports/forms need to be filled up by SOC team. Information to be filled in the regulator reporting template will be populated based on security incident reporting form.</t>
  </si>
  <si>
    <t>SOC will submit a root-cause and impact analysis report(s) (“IT Incident Report”) to the Technology Risk of BDCB through email within 5 working days, or such longer period as BDCB may allow.</t>
  </si>
  <si>
    <t>SOC will submit the recorded and compiled details to BDCB for near-miss IT Incident within 5 working days after the end of each month in such form and manner as may be determined by BDCB.
The following is the general information provided by BDCB regulator on the requirements of the
incident reporting.
This information should be furnished alongside the report:
A. Particulars of person making the report:
i. Name of the institution
ii. Name of the reporting staff
iii. Designation and department; and
iv. Mobile and office number
B. Information pertaining to the relevant incident
i. What happened
ii. When did it happen
iii. How did it happen
iv. Where did it happen
v. What was the impact?</t>
  </si>
  <si>
    <t>Definition of suspected incident stated in the Notice of Early Detection of Cyber Intrusion and Incident Reporting for Financial Institutions (FTU/N-1/2017/1] issued by BDCB: “Potential cyber intrusion” refers to a situation where a cyber intrusion is suspected to have infiltrated the Fis critical system and network, such as when an indicator of compromise was observed by an Fis personnel or reported by a user.</t>
  </si>
  <si>
    <t>SOC team</t>
  </si>
  <si>
    <t>Organisation? (CSIRT)</t>
  </si>
  <si>
    <t>IGPS 5-4-1 Computer Security Incident Response Team
(CSIRT) Handling Guideline for IT, Appendix F-1, Section 13, page 33</t>
  </si>
  <si>
    <t>IGPS 5-4-1 Computer Security Incident Response Team
(CSIRT) Handling Guideline for IT, Appendix F-2, Section 14, page 34</t>
  </si>
  <si>
    <t>IGPS 5-4-1 Computer Security Incident Response Team
(CSIRT) Handling Guideline for IT, Appendix F-3, Section 15, page 35</t>
  </si>
  <si>
    <t>IT Incident Management Team and CSIRT</t>
  </si>
  <si>
    <t>Disaster scenarios</t>
  </si>
  <si>
    <t>Scenario 1</t>
  </si>
  <si>
    <t>Scenario 2</t>
  </si>
  <si>
    <t>description</t>
  </si>
  <si>
    <t>exerpt</t>
  </si>
  <si>
    <t>Data Centre Site Failure/Unavailable</t>
  </si>
  <si>
    <t>Single Systems or Component Failure</t>
  </si>
  <si>
    <t>Production Data Centre cannot be accessed or is unavailable where all or most of the production machine cannot be accessed. In this scenario a full site disaster recovery is activated to support the business operation using the backup systems at the DR Data Centre.</t>
  </si>
  <si>
    <t>a single production system or its component encountered failure while the rest of the production interface systems are fully operational. The failed system’s DR component/s are activated in the Disaster Recovery Data Center for continuous support of the business operations.</t>
  </si>
  <si>
    <t>System Criticality Rating</t>
  </si>
  <si>
    <t>RTO</t>
  </si>
  <si>
    <t>Recovery priority</t>
  </si>
  <si>
    <t>Critical</t>
  </si>
  <si>
    <t>Highly Important</t>
  </si>
  <si>
    <t>Important</t>
  </si>
  <si>
    <t>Baseline</t>
  </si>
  <si>
    <t>&lt; 2 hours</t>
  </si>
  <si>
    <t>&lt; 4 hours</t>
  </si>
  <si>
    <t>&lt; 3 days</t>
  </si>
  <si>
    <t>&gt; 3 days</t>
  </si>
  <si>
    <t>2.1 DR Activation and Execution Process
The declaration of disaster is triggered by an incident process after which the outage is
unable to be resolved with the stipulated SLA. The activation and declaration of DR are due
to the following:
• An incident categorized as *P0 for a critical application which cannot be resumed and
has a high impact to the Business Operation
(*) IT Incidents that are escalated to IT Crisis mode – P0 (non-security incidents) for
details please refer to Service Desk Incident Management Process for criteria of
escalation, section 1.4.1.
• The Production Data Centre site cannot be accessed or is unavailable due to some
disaster.</t>
  </si>
  <si>
    <t>IT team will notify Disaster Management Team (DMT) of any system interruption and advise the level of disruption impact depending on the disaster scenarios.</t>
  </si>
  <si>
    <t>IT team</t>
  </si>
  <si>
    <t>DR team</t>
  </si>
  <si>
    <t>In concurrence with ^ DR Team will begin to trigger the **mobilizing the recovery IT staff to be ready on their respective location to perform systems recovery and preparations at DR
Center.
** Mobilization duration allocated for Malaysia DR systems is 1 hour 30 minutes and
only 1 hour in Singapore from the point of failure.</t>
  </si>
  <si>
    <t>DMT</t>
  </si>
  <si>
    <t>IRT Lead is responsible to inform and update respective impacted subsidiary’s CEO or higher authority/MD.</t>
  </si>
  <si>
    <t>IRT lead</t>
  </si>
  <si>
    <t>In the absence of Senior leadership in the Incident Response Team (IRT) and Crisis Management Team, alternate reporting structures are as defined in the Crisis Management Policy</t>
  </si>
  <si>
    <t>DMT is also required to notify GRM / RM and Incident Response Team (IRT) chairman</t>
  </si>
  <si>
    <t>IRT chariman, GRM/RM</t>
  </si>
  <si>
    <t>IRT chairman, GRM/RM decide on the activation (COO default is the IRT lead) and to activate the Crisis Management Team (CMT).
IF need to activate DR: Invoke CMT</t>
  </si>
  <si>
    <t>Verify Critical staff availibility</t>
  </si>
  <si>
    <t>Recovery Team</t>
  </si>
  <si>
    <t>Upon DR declaration by CEO (part of CMT), DMT to give approval for DR systems activation at DR Data Center and to resume business functions.
DMT to:
Manage Recovery Task:
• Progress
• Decision Making
• Issues
• Resources</t>
  </si>
  <si>
    <t>With approval: mobalise critical staff</t>
  </si>
  <si>
    <t>Start DR recovery process</t>
  </si>
  <si>
    <t>1.7.1 Recovery process for scenario 1:
1. DR machines located at DR Centre are activated or enabled.
DR systems at DR Centre will be used to support business operations.</t>
  </si>
  <si>
    <t>1.7.1 Recovery process for scenario 1:
2. Business Users will connect to DR systems via DR Icons
Related channels and external parties that are connected to the Production systems will
be routed to be connect to the DR systems located at the DR site (where applicable, for
external parties with infrastructure readiness).</t>
  </si>
  <si>
    <t>1.7.1 Recovery process for scenario 2:
3. External Parties connected to the Production systems will be routed to connect to the
DR systems (only applicable for External Parties with the ability or capabilities to access
the DR site)
The system will be restored either to the point of failure or start-of-day state depending
on the recovery strategy deployed. Business users may need to re-key some
transactions lost due to the disaster for their respective systems.</t>
  </si>
  <si>
    <t>1.7.2 Recovery process for scenario 2:
2. Business Users connect to the affected Component DR system via Production
Icons/URLs/IPs.
Related channels and external parties connected to the production systems will connect
to the DR systems located at the DR site (where applicable, for external parties with
infrastructure readiness).</t>
  </si>
  <si>
    <t>1.7.2 Recovery process for scenario 2:
3. External Parties connected to the Production systems will be swung across to connect
to the DR systems (where applicable, for External parties with infrastructure readiness).
The DR system shall be restored either to the point of failure or start-of-day state
depending on the recovery strategy implemented. Business users shall need to re-key
in the online transactions lost due to the disaster for their respective systems.</t>
  </si>
  <si>
    <t>1.7.2 Recovery process for scenario 2:
1. DR components/machines located at DR Centre are activated.
DR systems at DR Data Centre are used to support business operations</t>
  </si>
  <si>
    <t>Business User validation at DR</t>
  </si>
  <si>
    <t>Business users</t>
  </si>
  <si>
    <t>BAU at DR</t>
  </si>
  <si>
    <t>BAU team</t>
  </si>
  <si>
    <t>2.3 System reinstatement guideline:
The reinstatement guideline deal with the processes involved in assessing the damage
or salvaging at the disaster site and eventually leading to restoration of services or
reconstruction of the disaster site. The DR reinstatement key guidelines are as follows:
Vital information pertaining to equipment, floor plans, configuration, vendor support
information and personnel are maintained current according to the maintenance and
versioning schedule.
Respective Core Teams are responsible to ensure that the above information is updated
regularly, a reminder will be sent on a monthly basis.
Reinstatement is a planned activity with the required downtime approved by
management and RTO will not be calculated for the homecoming activity.</t>
  </si>
  <si>
    <t>DR reinstatment flow:
1. Detail damage assessment</t>
  </si>
  <si>
    <t>damage assess team</t>
  </si>
  <si>
    <t>respective core teams</t>
  </si>
  <si>
    <t>2. Salvage operations (recover equipment and items that are operable)</t>
  </si>
  <si>
    <t>3. Site restoration (reconstruction of all aspects of the services at the disaster site or reconstruction at the new site)</t>
  </si>
  <si>
    <t>??</t>
  </si>
  <si>
    <t>4. Site preparation (testing and verification of the rebuilt site to prepare for site migration)</t>
  </si>
  <si>
    <t>5. site migration (return to normalcy) operations at the DR site is ceased and swung over to the established production</t>
  </si>
  <si>
    <t>The verification or sanity check would cover as follows: i. Connectivity: a) Validate network to ensure servers and hardware able to connect. b) Server is able to ping, and able to logon. ii. Hardware Health: check servers for any issues or failures. iii. Data Integrity: Verify the integrity of data after the failover process. Recovery Point Objective is verified. iv. Application accessibility: Test application to ensure business user are able to log in.</t>
  </si>
  <si>
    <t>IT application teams</t>
  </si>
  <si>
    <t>Recovery Priority
The recovery of application is based on the following criteria:
i. During a DR situation where there is a resource constraint, the recovery of services
or systems will follow priority based on the systems criticality and RTO. The recovery
priority will be based on the highest criticality systems to the least critical systems.
ii. DR team will prioritize the criticality with the shortest RTO. In the event, where more
than 1 system is with the same rating to be recovered, then the recovery priority will
be based on business needs on the essential services determined by the CMT.
iii. Recovery dependencies for the systems are documented as per recovery checklist.
iv. DR Team will monitor the recovery timing for each system to ensure that the total
recovery time taken is within the RTO.
v. Applications which reside in the different platforms can be recovered concurrently or
individually once the infrastructure is ready for recovery executio</t>
  </si>
  <si>
    <t>New DR system Implementation process</t>
  </si>
  <si>
    <t>For new system to be implemented, the business unit head will be responsible to decide
on the DR requirements and include the investment as part of the project justification.</t>
  </si>
  <si>
    <t>Business Unit Head</t>
  </si>
  <si>
    <t>Business Unit Head is responsible for ensuring that DR requirements are align with Business Impact Analysis and Business Recovery Time/Point Objective.</t>
  </si>
  <si>
    <t>Where DR capability is required for new system, the DR system must be tested prior to the system live date and rolled out together with the production system.</t>
  </si>
  <si>
    <t>If the DR system can only be ready for use after the system has gone live, the time taken for the DR roll out must not exceed 30 days from system live date.</t>
  </si>
  <si>
    <t>Depending on severity, risks shall be approved by BU Heads/ SMT*</t>
  </si>
  <si>
    <t>Project IT owner is responsible for the end-to-end development, testing and implementation of the application’s disaster recovery procedures and processes.</t>
  </si>
  <si>
    <t>Project IT owner</t>
  </si>
  <si>
    <t>Informed DR Team on the planning and execution</t>
  </si>
  <si>
    <t>Project team</t>
  </si>
  <si>
    <t>Prepare or update Disaster Recovery Procedure (DRP).</t>
  </si>
  <si>
    <t>Performed a standalone testing (without any integration with other systems) with BAU team involvement. This applies to all of the scenarios (1 &amp; 2, where applicable) to verify the recovery steps and both the Recovery Time Objective (RTO) and Recovery Point Objective (RPO) is achievable</t>
  </si>
  <si>
    <t>Involve Business User in the testing where possible.</t>
  </si>
  <si>
    <t>Obtained all the required sign-off on the success of the Standalone testing (Business Users/ BAU Team).</t>
  </si>
  <si>
    <t>Handover the completed DRP with signoff and Signoff forms to DR Team.</t>
  </si>
  <si>
    <t>IT Project Manager is responsible to identify all external parties where Great Eastern is dependent on for recovery assessment based on the Business Impact Analysis (BIA) and update into the DR Procedure. Inclusion/exclusion of these parties in DR activities requires approval of the TRM. Where there are dependencies on the infrastructure readiness (related to external parties), Business Owners are responsible for the requirements.</t>
  </si>
  <si>
    <t>IT Project Manager</t>
  </si>
  <si>
    <t>For system which require interfacing with external parties, the DR testing with the respective external party is required prior to DR Handover to BAU.</t>
  </si>
  <si>
    <t>Change in System Criticality Rating (SCQ)</t>
  </si>
  <si>
    <t>Existing system may change their SCQ rating and when there is a change to the SCQ where the rating has been elevated to Critical or Highly Important, the following has to be evaluated:</t>
  </si>
  <si>
    <t>IT Custodian</t>
  </si>
  <si>
    <t>IT Custodian is responsible to address the gaps resulted from the SCQ assessment to ensure that the DR capability is sufficient or resilient to be able to meet the RTO and RPO of the system/s</t>
  </si>
  <si>
    <t>Business Unit Head is responsible for ensuring that DR requirement are align with Business Impact Analysis and Business Recovery Time/Point Objective</t>
  </si>
  <si>
    <t>IT Custodian/ IT Project Manager should work with Business Unit on the budget and implement a plan to ensure DR can be ready within 6 months from the approval of the new SCQ rating.</t>
  </si>
  <si>
    <t>IT Custodian/IT project manager</t>
  </si>
  <si>
    <t>Depending on severity, risks shall be approved by BU Heads/ SMT*. Deviations of agreed deliverables shall be tabled for deliberation by SMT</t>
  </si>
  <si>
    <t>IT Custodian is responsible for the end-to-end development, testing and implementation of the application’s disaster recovery procedures and processes which includes</t>
  </si>
  <si>
    <t>IT Project Manager is responsible to identify all external parties where Great Eastern is dependent on for recovery assessment based on the Business Impact Analysis (BIA) and update into the DR Procedure. Inclusion/exclusion of these parties in DR activities requires approval of the TRM. Where there are dependencies on the infrastructure readiness, System Steward are responsible to work with IT Custodian on the requirements.</t>
  </si>
  <si>
    <t>For any existing system that re-baselined their SCQ to lower criticality, IT Custodian is to seek System Steward’s approval if the system still need to participate in the annual DR exercise and inform DR team accordingly.</t>
  </si>
  <si>
    <t>IT custodian</t>
  </si>
  <si>
    <t>end to end development, testing and implementation Porcess</t>
  </si>
  <si>
    <t>Artefact</t>
  </si>
  <si>
    <t>Targeted Entity</t>
  </si>
  <si>
    <t>GMY-01-01</t>
  </si>
  <si>
    <t>GID-01-01</t>
  </si>
  <si>
    <t>IRT to perform incident classification and determine if the incident is a crisis, and IRT will then update CMT chairman to seek his opinion on the activate of the CMT</t>
  </si>
  <si>
    <t>5-1-1
1. IT infra investigate, provide justification, respond to the ticket raised based on the following escalation SLA
2. When performing investigation, technical/ application team lead is responsible to ensure adequate verification is duly conducted. Supporting evidence should be presented (where applicable) to the SOC team via SDP or email.</t>
  </si>
  <si>
    <r>
      <t xml:space="preserve">Backups up to </t>
    </r>
    <r>
      <rPr>
        <sz val="12"/>
        <color rgb="FFFF0000"/>
        <rFont val="Helvetica"/>
        <family val="2"/>
      </rPr>
      <t>XX days</t>
    </r>
    <r>
      <rPr>
        <sz val="12"/>
        <rFont val="Helvetica"/>
        <family val="2"/>
      </rPr>
      <t xml:space="preserve"> are infected with Ransomware?</t>
    </r>
  </si>
  <si>
    <t>Prior: Once CMT activated, should have (1)Activate or appoint PR agency to provide third-party counsel/best practices in the event of crisis, to execute media crisis comms plan as necessary
Crisis comms plan:
1. Contain public rumour-mongering by providing the media (social and traditional) with prompt
and accurate updates
2. Monitor any media communications by industry peers, and update CMT for considered
decisions
3. Work closely with the designated representative (Brand &amp; Marketing Activation/Digital
Marketing) to monitor/proactively manage social media chatter</t>
  </si>
  <si>
    <t>4-1-1
1. log, prioritize and evaluate (determine its P0)
2. Assign to production support (standby DR team)
3. Activate IT Incident Notification and Reporting Process to Regulators and inform Regulators within 1 hour --&gt; Notify IT service Manager who will notify HOD, DRO with inicident report --&gt; notify regulators if necessary
6. perform system recovery
note - some how doesnt reach CSIRT or CMT??</t>
  </si>
  <si>
    <t>GMY-01-02</t>
  </si>
  <si>
    <t>GID-01-02</t>
  </si>
  <si>
    <t>GSG-01-01</t>
  </si>
  <si>
    <t>On Request</t>
  </si>
  <si>
    <t>GMY-01-03</t>
  </si>
  <si>
    <t>GMY-01-04</t>
  </si>
  <si>
    <t>GMY-01-06</t>
  </si>
  <si>
    <t>GMY-01-05</t>
  </si>
  <si>
    <r>
      <rPr>
        <b/>
        <sz val="12"/>
        <color theme="1"/>
        <rFont val="Helvetica"/>
        <family val="2"/>
      </rPr>
      <t>STEP 5:</t>
    </r>
    <r>
      <rPr>
        <sz val="12"/>
        <color theme="1"/>
        <rFont val="Helvetica"/>
        <family val="2"/>
      </rPr>
      <t xml:space="preserve"> Perform remediation actions
To perform remediation action, update the SDP ticket or send email
IT Infra Operations to perform remediation action, update the resolution to the SDP ticket or send email and proceed with closure if issue has been resolved.
Proceed to Step 5.1, if alert has been resolved and update received from relevant IT Infra Operations / Application teams on resolution status.
Proceed to Step 5.2, if alert remains unresolved and additional remediation actions are required.</t>
    </r>
  </si>
  <si>
    <t>IGPS 5-1-1 Security Events Monitoring Process V2.1, Qradar Security Event Monitoring &amp; Escalation, page 7
STEP 3: Investigate and provide justification or evidence
Output: IT Infra Operations/ Application team to perform investigation and respond to the ticket or email
The respective teams will respond to the ticket raised based on the following escalation SLA
OR (because this is a TTX, can skip step 3)
STEP 5: Perform remediation actions
To perform remediation action, update the SDP ticket or send email
IT Infra Operations to perform remediation action, update the resolution to the SDP ticket or send email and proceed with closure if issue has been resolved.
Proceed to Step 5.1, if alert has been resolved and update received from relevant IT Infra Operations / Application teams on resolution status.
Proceed to Step 5.2, if alert remains unresolved and additional remediation actions are required.</t>
  </si>
  <si>
    <t>IGPS 4-1-1 Service Desk Incident Management Process, Section 1.0, page 4
1.1
Log and Evaluate Incident
Service Desk Support log, prioritze and evaluate incident. Includes the following information:
Incident Description
Priority of the incident based on SLA agreement
1.1.1
Is this a P0?
Production Support confirms the incident is a not P0 (Crisis Severity).
1.2 
Assign Service Desk Engineer to troubleshoot incident
Service Restored? No
1.4 
Information Security or Severe or aged incident?
1.9
Escalate incident to Support Manager
If incident is related to Security or is severe or aged, it will be escalated to the Support Manager.
Note: Support Manager in this context refers to the Service Desk Manager.
3.1, 3.2, 3.3
Evaluate incident
Further escalation needed? Yes
Security Incident? Yes
3.3.1
Escalate to Information Security (CSIRT)
IGPS 5-3-1 COMPUTER SECURITY INCIDENT RESPONSE TEAM (CSIRT) PROCEDURE V2.12, Pg 7, Section 3
STEP 3.1.3 IT Security Lead to inform GTRM and the Management Tier if the Impact
assessment is Medium. (9 endpoints for all 7 entities)
STEP 3.1.8 Incident containment, eradication and recovery
The Incident Handler to perform containment, eradication and recovery according to the Computer Security Incident Response Team Handling Guidelines.</t>
  </si>
  <si>
    <t>Group Crisis Management Policy_2023_signed.pdf, Section Appendix 2.5, page 16
IRT should conduct a preliminary assessment of the incident impact, known injuries, extent of damage and disruption to the Group’s services and business operations, and make recommendations to CMT on the activation, or otherwise, of the business recovery plans;</t>
  </si>
  <si>
    <t>Group Crisis Management Policy_2023_signed, Page 10, 6.2.1
The IRT will perform analysis and assessment of any emerging situation then Update the CMT Chairman and seek his opinion on the activation of the CMT and;
Provide status reports to the CMT and the Board or delegated board risk committee</t>
  </si>
  <si>
    <t>IGPS 5-4-1 Computer Security Incident Response Team
(CSIRT) Handling Guideline for IT, Section 2.6, page 11-12
2.6.4 Recovery
Return affected systems to an operationally ready state. Recovery may involve such actions as:
i. Restoring systems from clean backups,
ii. Rebuilding systems,
iii. Replacing compromised files with clean versions,
iv. Installing patches,
v. Changing passwords; and
vi. Tightening network perimeter security (e.g. firewall rule sets, boundary router access control lists).</t>
  </si>
  <si>
    <t xml:space="preserve">IGPS 5-4-1 Computer Security Incident Response Team
(CSIRT) Handling Guideline for IT, Section 2.7, page 12
2.7.1 Forensic Analysis – Post Containment
Acquire, preserve, secure and document evidence.
2.7.2 SOC Team will create a follow-up report that documents the following:
a. Actions that could have prevented the incident.
b. Estimate of damage/impact.
c. Resources used.
d. Action taken during the incident.
e. Follow-on efforts needed to eliminate or mitigate the vulnerability.
f. Policies or procedures that require updating.
g. Chronological log and any system audit logs used in the incident response process.
h. Submit the completed report to Information Security Lead and notify CSIRT Commander
on a regular basis for situational updates when necessary.
2.7.3 SOC team to complete the Regulator’s Incident Reporting Form and submit to Head of IT Security.
2.7.4 SOC team will hold a lesson learned meeting to:
a. Review the incident response process to identify opportunities for improvement.
b. Determine if the appropriate resources (tools, information, personnel, skills and outside
support) were available when needed. </t>
  </si>
  <si>
    <t>IGPS 5-4-1 Computer Security Incident Response Team
(CSIRT) Handling Guideline for IT, Section 2.6, page 11
2.6.2 Containment
Incident Handler should seek appropriate approval, if containment requires to: 
i. Shutdown the system; 
ii. Disconnect it from the network; or 
iii. Disable certain functions.
2.6.2 Containment
Change passwords on the compromised system and on all systems that interact with the compromised systems.
2.6.2 Containment
Protecting system(s) and data should take precedence over identifying the hacker.</t>
  </si>
  <si>
    <t>Crisis Communication Plan v2.0 (2024 Update) (FINAL), Section 4.2 Crisis, page 3</t>
  </si>
  <si>
    <t>GCC</t>
  </si>
  <si>
    <t xml:space="preserve">At this stage, the focus for GCC is to provide counsel as necessary to relevant departments/issue &amp; content owners as relevant for necessary action to specific key audiences/stakeholders:
 Provide Comms counsel to issue/crisis content owner/departments
 Activate or appoint PR agency to provide third-party counsel/best practices in the event of crisis, to execute media crisis comms plan as necessary
 Pre-empt negative media publicity and communicate with internal and external parties on actions being taken
 Contain public rumour-mongering by providing the media (social and traditional) with prompt and accurate updates
 Monitor any media communications by industry peers, and update CMT for considered decisions
</t>
  </si>
  <si>
    <t>For all other channels of communications :
Page 4 of 8
 Work closely with the designated representative (Brand &amp; Marketing Activation/Digital Marketing) to monitor/proactively manage social media chatter
 Work closely with the designated representatives (Agency Business Development) to proactively manage agency-related communication
 Work closely with the designated representative (Marketing and/or Customer Service &amp; Operations) to handle customer communication
 Work closely with the designated representative (Group Human Capital) to handle internal staff communication</t>
  </si>
  <si>
    <t>Crisis Communication Plan v2.0 (2024 Update) (FINAL), Section 4.2 Crisis, page 3 and 4</t>
  </si>
  <si>
    <t>Crisis Communication Plan v2.0 (2024 Update) (FINAL), Section 5.1 Internal Communications, page 4</t>
  </si>
  <si>
    <t>5.1. Internal Communications
All staff should be duly informed of the crisis and what has been done to manage the situation. This is to ensure that consistent and timely messages are communicated to staff to minimise speculation and rumours at the appropriate juncture (in discussion with GHC &amp; issue content owners).
 Determine the information (what has happened, current situation, next steps) to be communicated to staff.
 GHC/CMT to review the communication before sending to all staff.
 The statement should contain details on which staff are authorised to communicate to external parties pertaining to the crisis.
 A customised statement may be sent to external parties, including business partners and financial representatives, if necessary. Other than issue content owners, GCC can review statements to these parties as necessary.</t>
  </si>
  <si>
    <t>External Communications
It is important for external communication to key stakeholders to be done in a timely manner, with consistent messaging. The communication channels can include emails, website, phone call and social media.
 Based on pre-prepared media statement templates, update and finalise messages for CMT Chairman through Head GCC for approval.
 Work with respective channel owners to post / publish the communication and updates on the Intranet, Great Eastern website, SGXNET and social media channels.
Calls from Customers/General Public will be handled by Customer Service Call Centre using the approved communication.</t>
  </si>
  <si>
    <t>Crisis Communication Plan v2.0 (2024 Update) (FINAL), Section 6 Communication Management, page 4 and 5</t>
  </si>
  <si>
    <t>6.2. Media Briefing
Where necessary, GCC will convene a media briefing to update the media.
Arrangements include:
 Issue invite to the media.
 Facilitate at press conference, brief management, manage logistics
These include:
 Media contact list (Appendix A - Media List)
 Laptops / Printer / Video conferencing facility / Directional signs / Table name plates / Microphones / Projector / Screen / Video camera and audio recorder (for recording proceedings)
 Refreshments</t>
  </si>
  <si>
    <t>Crisis Communication Plan v2.0 (2024 Update) (FINAL), Section 5.2 External Communications, page 4</t>
  </si>
  <si>
    <t>MY AVP ITSM
SG Head ITSM</t>
  </si>
  <si>
    <t>Exercise Control
(IT Helpdesk)</t>
  </si>
  <si>
    <t>Exercise Control
(Business Owners)</t>
  </si>
  <si>
    <t>Exercise Control
(PHULU)</t>
  </si>
  <si>
    <t>Exercise Control 
(DFIR)</t>
  </si>
  <si>
    <t>SG/MY CSIRT</t>
  </si>
  <si>
    <t>To address</t>
  </si>
  <si>
    <t>Exercise Control
(DR team)</t>
  </si>
  <si>
    <t>SG SCT</t>
  </si>
  <si>
    <t>MY SCT</t>
  </si>
  <si>
    <t>SG SCT
MY SCT</t>
  </si>
  <si>
    <t>SG CSIRT</t>
  </si>
  <si>
    <t>MY CSIRT</t>
  </si>
  <si>
    <t>GID-01-03</t>
  </si>
  <si>
    <t>GID-01-04</t>
  </si>
  <si>
    <t>GID-01-05</t>
  </si>
  <si>
    <t>GID-01-06</t>
  </si>
  <si>
    <t>GID-01-07</t>
  </si>
  <si>
    <t>GID-01-08</t>
  </si>
  <si>
    <t>GID-01-09</t>
  </si>
  <si>
    <t>GID-01-10</t>
  </si>
  <si>
    <t>GID-01-11</t>
  </si>
  <si>
    <t>GID-01-12</t>
  </si>
  <si>
    <t>GID-01-13</t>
  </si>
  <si>
    <t>GID-01-14</t>
  </si>
  <si>
    <t>GID-01-15</t>
  </si>
  <si>
    <t>GID-01-16</t>
  </si>
  <si>
    <t>GID-01-17</t>
  </si>
  <si>
    <t>GID-01-18</t>
  </si>
  <si>
    <t>GID-01-19</t>
  </si>
  <si>
    <t>GID-01-20</t>
  </si>
  <si>
    <t>GID-01-21</t>
  </si>
  <si>
    <t>GID-01-22</t>
  </si>
  <si>
    <t>Exercise Control
(Customer Service)</t>
  </si>
  <si>
    <t>MY Strategic Communication Team</t>
  </si>
  <si>
    <t>GMY-01-07</t>
  </si>
  <si>
    <t>GMY-01-08</t>
  </si>
  <si>
    <t>GMY-01-09</t>
  </si>
  <si>
    <t>GMY-01-10</t>
  </si>
  <si>
    <t>GMY-01-11</t>
  </si>
  <si>
    <t>GSG-01-02</t>
  </si>
  <si>
    <t>GSG-01-03</t>
  </si>
  <si>
    <t>GSG-01-04</t>
  </si>
  <si>
    <t>GMY-02-01</t>
  </si>
  <si>
    <t>GMY-02-02</t>
  </si>
  <si>
    <t>GMY-02-03</t>
  </si>
  <si>
    <t>GMY-02-04</t>
  </si>
  <si>
    <t>IGPS 4-1-1 Service Desk Incident Management Process, Section 1.0, page 4
1.1
Log and Evaluate Incident
Service Desk Support log, prioritze and evaluate incident. Includes the following information:
Incident Description
Priority of the incident based on SLA agreement
1.1.1
Is this a P0?
Production Support (IT Security Manager) confirms the incident is a not P0 (Crisis Severity).
1.2 
Assign Service Desk Engineer to troubleshoot incident
Service Restored? No
1.4 
Information Security or Severe or aged incident?
1.9
Escalate incident to Support Manager
If incident is related to Security or is severe or aged, it will be escalated to the Support Manager.
Note: Support Manager in this context refers to the Service Desk Manager.
3.1, 3.2, 3.3
Evaluate incident
Further escalation needed? Yes
Security Incident? Yes
3.3.1
Escalate to Information Security (CSIRT)
IGPS 5-3-1 COMPUTER SECURITY INCIDENT RESPONSE TEAM (CSIRT) PROCEDURE V2.12, Pg 7, Section 3
STEP 3.1.3 IT Security Lead to inform GTRM and the Management Tier if the Impact
assessment is Medium. (9 endpoints for all 7 entities)
STEP 3.1.8 Incident containment, eradication and recovery
The Incident Handler to perform containment, eradication and recovery according to the Computer Security Incident Response Team Handling Guidelines.</t>
  </si>
  <si>
    <t>0950</t>
  </si>
  <si>
    <t>0955</t>
  </si>
  <si>
    <t>1345</t>
  </si>
  <si>
    <t>Post incident activity - CSIRT 5-4-1 section 2.7</t>
  </si>
  <si>
    <t>Subject: Urgent Alert: Ransomware Detected in All Affinity Exchange Backups
Dear CSIRT Team,
During our most recent audit, we uncovered a critical issue with the Affinity Exchange backups. It has been determined that all backups from the past six months have been encrypted by ransomware, rendering them unusable for recovery. Additionally, it appears that that backups older than six months, up to 12 months's worth of backups seem to have data integrity issues. Initial investigation with IOCs of Ransomware provided seem to indicate that Ransowmare payload is present in the backups. Checks are still on-going for backups earlier than 12 months. Please advise further action.
Key Findings:
Affected Systems: Backups for both Affinity Exchange have been found to contain ransomware, compromising their integrity.
Backup Timeline: The infection appears to have propagated through recent backup cycles, rendering the most current and previous backups unusable.
Immediate Risk: With backups compromised, recovery options are severely limited. We must proceed cautiously to avoid further spreading the infection during any restoration attempts.</t>
  </si>
  <si>
    <t>1010</t>
  </si>
  <si>
    <t xml:space="preserve">2.7 Forensic Analysis – Post Containment
- acquire preserve and secure document evidence
- capture volatile information that may not be recorded in the file system
- perform full disk image
- Incident Handler should seek Legal Counsel’s advice on evidence retention period
Soc team to create follow-up report:
- Actions that could have prevented the incident.
- Estimate of damage/impact.
- Resources used.
- Action taken during the incident.
- Follow-on efforts needed to eliminate or mitigate the vulnerability.
- Policies or procedures that require updating.
- Chronological log and any system audit logs used in the incident response process.
- Submit the completed report to Information Security Lead and notify CSIRT Commander on a regular basis for situational updates when necessary.
SOC team to complete the Regulator’s Incident Reporting Form and submit to Head of IT Security.
SOC team will hold a lesson learned meeting to review IR process and identify areas of improvement, Determine if the appropriate resources were available
</t>
  </si>
  <si>
    <t>1445</t>
  </si>
  <si>
    <t>0945</t>
  </si>
  <si>
    <t>GMY-02-05</t>
  </si>
  <si>
    <r>
      <t xml:space="preserve">Ransom note received from </t>
    </r>
    <r>
      <rPr>
        <b/>
        <sz val="12"/>
        <color theme="1"/>
        <rFont val="Helvetica"/>
        <family val="2"/>
      </rPr>
      <t>the Threat Actor</t>
    </r>
    <r>
      <rPr>
        <sz val="12"/>
        <color theme="1"/>
        <rFont val="Helvetica"/>
        <family val="2"/>
      </rPr>
      <t xml:space="preserve"> for 150 Bitcoins (~SGD 12 MM) for the decryption key for all endpoints (employee laptops and servers), and to prevent the sale of exfiltrated data, which includes customer PII and policy details.</t>
    </r>
  </si>
  <si>
    <t>Unusually high volume of inquiries today across multiple communication channels, including phone calls, emails, and live chats through our web and mobile platforms.</t>
  </si>
  <si>
    <t xml:space="preserve">Analysis of sample of Ransomware acquired from affected endpoints reveals IOCs </t>
  </si>
  <si>
    <t xml:space="preserve">An unusually high volume of inquiries are received today across multiple communication channels, including phone calls, emails, and live chats through our web and mobile platforms. </t>
  </si>
  <si>
    <t>Customer service team received an unusually high volume of inquiries this morning across multiple communication channels, including phone calls, emails, and live chats through the web and mobile platforms.</t>
  </si>
  <si>
    <t>Cybersecurity regulators requests a detailed report on the cyber attack.</t>
  </si>
  <si>
    <t>Analysis of sample of Ransomware acquired from affected endpoints reveals IOCs,</t>
  </si>
  <si>
    <t xml:space="preserve">CSIRT Team report that no further spread of the ransomware has been detected across the network. </t>
  </si>
  <si>
    <t>Impact on Brand Image: The widespread nature of these complaints is beginning to attract attention from broader audiences, including media outlets and influencers in the insurance and financial sectors. This could lead to a larger PR issue if not addressed promptly.</t>
  </si>
  <si>
    <t>Members of the public taking to social media to complain that they are unable to put in their claim their hospitalisation insurance, causing their treatments to be delayed.</t>
  </si>
  <si>
    <r>
      <t xml:space="preserve">IR team reports that this DDoS was conducting using ZalaBot Botnet. The </t>
    </r>
    <r>
      <rPr>
        <sz val="12"/>
        <color theme="1"/>
        <rFont val="Helvetica"/>
        <family val="2"/>
      </rPr>
      <t>threat actor</t>
    </r>
    <r>
      <rPr>
        <sz val="12"/>
        <color theme="1"/>
        <rFont val="Helvetica"/>
        <family val="2"/>
      </rPr>
      <t xml:space="preserve"> used IP spoofing to disguise the source of the attack traffic and avoid detection by security measures like rate limiting and IP blacklisting. Fortunately, no data has been exfiltrated or deleted.</t>
    </r>
  </si>
  <si>
    <t>IR team reports that this DDoS was conducting using ZalaBot Botnet.</t>
  </si>
  <si>
    <t xml:space="preserve">ID/SG/MY CSIRT </t>
  </si>
  <si>
    <t>h</t>
  </si>
  <si>
    <t>Expected Company Response</t>
  </si>
  <si>
    <t>Company-ALL-01</t>
  </si>
  <si>
    <t>Senior leaders receive ransom note from the Threat Actor for 150 Bitcoins (~SGD 12 MM) for the decryption key for all endpoints (employee laptops and servers), and to prevent the sale of exfiltrated data, which includes customer PII and policy details. Ransom note comes with 24-hour deadline.
Ransom is to be paid only by Company Singapore.
Failure to pay the ransom will result in full public sale of stolen data. 
Threat actor also informed the Company staff, partners, media and public, inclusive of Company chairman to pressure Company meet their demand.
Sent to whoever need need to pay i.e. Singapore leadership.</t>
  </si>
  <si>
    <t xml:space="preserve">
IT Helpdesk received calls and emails from two (2) employees of CompanyLI reporting unusual behavior on their corporate laptops.</t>
  </si>
  <si>
    <t>Email from IT Helpdesk to IT Helpdesk Lead
IT Helpdesk is currently receiving a surge of calls and emails from two (2) employees of CompanyLI reporting unusual behavior on their corporate laptops. These employees are reporting that their computers have suddenly restarted without warning, and upon reboot, they are greeted with a message demanding payment to regain access to their files. This message appears as a pop up text file. The employees have shared screenshots of their file directories, where they observe that all file names have been altered with a strange extension (".locked"). They mention that when trying to open these files, they receive an error message stating that the files are corrupted or cannot be opened. They have also reported that certain programs, including email clients and office applications, are no longer launching, leaving them unable to perform their daily tasks.</t>
  </si>
  <si>
    <t>Company Group IT Security Head
CompanyLI IT Security
CompanyLI IT Security Lead</t>
  </si>
  <si>
    <t>CompanyLI Lead, IT Help Desk &amp; Endpoint Management</t>
  </si>
  <si>
    <t>IT helpdesk has concluded that corporate laptops from CompanyLI, approximately 1200 employees, have been compromised by the same ransomware attack.</t>
  </si>
  <si>
    <t>IT Helpdesk to IT helpdesk Manager. (Continuation of the initial report.
After compiling and analyzing the incoming reports from various employees, IT helpdesk has concluded that corporate laptops from CompanyLI, approximately 1200 employees, have been compromised by the same ransomware attack. The ransomware is displaying consistent behavior across all affected devices, including:
Frozen Screens: A significant number of users report that their laptops have completely frozen, with no response to input commands or attempts to reboot.
Ransom Note Display: A uniform ransom note has been observed across all affected devices, appearing as a pop-up text file in a notepad. The note is demanding payment in cryptocurrency, with detailed instructions on how to make the payment.
File Encryption: Affected laptops are showing files with an unusual extension, ".locked" (or similar), rendering them inaccessible. Any attempts to open these files result in error messages, indicating they have been encrypted by the ransomware.</t>
  </si>
  <si>
    <t>IGPS 5-3-1 COMPUTER SECURITY INCIDENT RESPONSE TEAM (CSIRT) PROCEDURE V2.12, Pg 7, Section 3
STEP 3.1.3 IT Security Lead to inform GTRM and the Management Tier if the Impact
assessment is High. (4000 endpoints across 7 entities)
STEP 3.1.4 Activate CSRIT
Upon receiving the notification, CSIRT Commander will assess with inputs from relevant teams including Management Tier whether CSIRT activation is warranted based on the following considerations: 
1. It is a computer security incident on Company’s IT infrastructure resulting in unauthorized access or theft of information assets 
2. The severity of the cyber security incident classified as High or Medium. 
CSIRT Commander will decide, with concurrence from GTRM, if CSIRT activation is not warranted. If CSIRT is activated, CSIRT Commander will appoint an Incident Handler. The Incident Handler will contact Incident Manager to activate Incident Conference Bridge and assemble CSIRT team.
STEP 3.1.5 IT Security Lead to inform OCBC CSIRT.
STEP 3.1.6 GTRM will engage with Local TRM to report the security incident to local
regulator.
STEP 3.1.7 Inform regulators (MAS)
For High and Medium security incident, GTRM will obtain concurrence from GCRO and notify GRC to report the security incident to MAS within 1 hour upon discovery of the incident
STEP 3.1.8 Incident containment, eradication and recovery
The Incident Handler to perform containment, eradication and recovery according to the Computer Security Incident Response Team Handling Guidelines.</t>
  </si>
  <si>
    <t>Surge in negative posts and comments from frustrated Company customers on social media.</t>
  </si>
  <si>
    <t>Social media and content channels are currently experiencing a surge in negative posts and comments from frustrated Company customers. They are voicing concerns over receiving unexpected policy termination notices and are expressing dissatisfaction with their inability to reach our customer service team for clarification. &lt;Refer to NTUC income issue&gt;
Key details observed:
Volume of Posts: There has been a significant increase in posts across platforms such as Facebook and X. Customers are tagging Company official accounts, demanding answers, and sharing their frustration with their followers, which is amplifying the reach of these negative messages.
Content of Complaints: The majority of the posts indicate that customers have received emails claiming their insurance policies with Company have been terminated without their consent. Many are expressing panic and anger, stating that they are unable to access our customer service portal due to overwhelming traffic and long wait times, and when they are able to get through, the customer service agents have little information to share.
To make matters worse, some malicious actors online are spreading outright fake information  exaggerating social media posts about the scale of the cyber attacks on the insurance company and the impacts
Impact on Brand Image: The widespread nature of these complaints is beginning to attract attention from broader audiences, including media outlets and influencers in the insurance and financial sectors. This could lead to a larger PR issue if not addressed promptly.
some social media posts that address concerns over an insurance provider's inability to reach customer service for clarification, in light of corporate communication issues similar to those in the NTUC Income Allianz acquisition:
Twitter Post
📞 Customers are frustrated as they struggle to reach customer service at a major insurance provider. In times of crisis, clear communication and accessible support are crucial. It's vital for companies to ensure their customers are heard and assisted promptly. #CustomerService #Insurance
LinkedIn Post
Amid recent challenges, many customers are finding it difficult to connect with their insurance provider's customer service for vital clarifications. This highlights the importance of having robust and responsive communication channels, especially during times of uncertainty. For companies in the insurance sector, maintaining customer trust through accessible support should be a top priority. #CustomerSupport #InsuranceIndustry #CrisisCommunication
Facebook Post
📢 We’re hearing reports that customers are having a hard time reaching customer service at a major insurance provider. During critical times, being able to get answers quickly is key to maintaining trust and confidence. Companies need to ensure their communication lines are open and efficient. If you're experiencing this, you're not alone—let's hope for a swift resolution. #Insurance #CustomerCare #StayInformed
Instagram Post
😟 When you need answers, waiting on hold can be frustrating—especially with your insurance provider. We've seen reports of customers struggling to get through to customer service. Let's hope they resolve this soon, as strong communication is the backbone of customer trust. #CustomerService #InsuranceProblems #NeedAnswers
These posts reflect the importance of maintaining open and responsive communication channels during times of uncertainty, especially in industries where customer trust is paramount. They also serve to echo customer frustrations and advocate for better service.</t>
  </si>
  <si>
    <t>A surge in negative posts and comments from frustrated Company customers in social media.</t>
  </si>
  <si>
    <t>Social media and content channels are currently experiencing a surge in negative posts and comments from frustrated Company customers. They are voicing concerns over receiving unexpected policy termination notices and are expressing dissatisfaction with their inability to reach our customer service team for clarification. 
Key details observed:
Volume of Posts: There has been a significant increase in posts across platforms such as Facebook and X. Customers are tagging Company official accounts, demanding answers, and sharing their frustration with their followers, which is amplifying the reach of these negative messages.
Content of Complaints: The majority of the posts indicate that customers have received emails claiming their insurance policies with Company have been terminated without their consent. Many are expressing panic and anger, stating that they are unable to access our customer service portal due to overwhelming traffic and long wait times, and when they are able to get through, the customer service agents have little information to share.
To make matters worse, some malicious actors online are spreading outright fake information  exaggerating social media posts about the scale of the cyber attacks on the insurance company and the impacts
Impact on Brand Image: The widespread nature of these complaints is beginning to attract attention from broader audiences, including media outlets and influencers in the insurance and financial sectors. This could lead to a larger PR issue if not addressed promptly.
some social media posts that address concerns over an insurance provider's inability to reach customer service for clarification, in light of corporate communication issues similar to those in the NTUC Income Allianz acquisition:
Twitter Post
📞 Customers are frustrated as they struggle to reach customer service at a major insurance provider. In times of crisis, clear communication and accessible support are crucial. It's vital for companies to ensure their customers are heard and assisted promptly. #CustomerService #Insurance
LinkedIn Post
Amid recent challenges, many customers are finding it difficult to connect with their insurance provider's customer service for vital clarifications. This highlights the importance of having robust and responsive communication channels, especially during times of uncertainty. For companies in the insurance sector, maintaining customer trust through accessible support should be a top priority. #CustomerSupport #InsuranceIndustry #CrisisCommunication
Facebook Post
📢 We’re hearing reports that customers are having a hard time reaching customer service at a major insurance provider. During critical times, being able to get answers quickly is key to maintaining trust and confidence. Companies need to ensure their communication lines are open and efficient. If you're experiencing this, you're not alone—let's hope for a swift resolution. #Insurance #CustomerCare #StayInformed
Instagram Post
😟 When you need answers, waiting on hold can be frustrating—especially with your insurance provider. We've seen reports of customers struggling to get through to customer service. Let's hope they resolve this soon, as strong communication is the backbone of customer trust. #CustomerService #InsuranceProblems #NeedAnswers
These posts reflect the importance of maintaining open and responsive communication channels during times of uncertainty, especially in industries where customer trust is paramount. They also serve to echo customer frustrations and advocate for better service.</t>
  </si>
  <si>
    <t>Customer service team for ID has been overwhelmed with an unusually high volume of inquiries this morning across multiple communication channels, including phone calls, emails, and live chats through our web and mobile platforms. Customers are expressing significant concern after receiving an email that appears to be from Company &lt;include the fake email with policy termination details in the artefact&gt;, claiming their insurance policies have been terminated.
Key details observed:
High Call Volume: Our call center is experiencing a significant spike, with wait times increasing as more policyholders call in to verify the status of their policies. Many are reporting anxiety and confusion after receiving what they believe to be an official policy termination notice.
Email Verification: A large number of emails have been received from customers questioning the authenticity of the policy termination email. These emails all share a common format and wording, which suggests a coordinated phishing attempt.
Web and Mobile Live Chats: Live chat sessions have also surged, with customers urgently seeking clarification on the status of their insurance policies. The majority are asking if their policies have indeed been canceled and what actions they should take next.
Policy Status: Upon reviewing the accounts of the customers who have contacted us, we have verified that their policies are intact and unaffected. No legitimate policy termination notices have been issued by our organization.</t>
  </si>
  <si>
    <t>IT Helpdesk team reports that they have received multiple messages and calls from employees of Company from CompanyL (1), CompanyG (1), CompanyLM (1), CompanyGM (1), CompanyTB (1) stating that their endpoints have frozen and some of the endpoints are displaying a ransom note as a pop up text file.</t>
  </si>
  <si>
    <t>Email from IT Helpdesk to IT Helpdesk Manager (note that the helpdesk are supporting Singapore and Malaysia employees exclude CompanyLI and CompanyGI).
IT Helpdesk team reports that they have received multiple messages and calls from employees of Company from CompanyL (1), CompanyG (1), CompanyLM (1), CompanyGM (1), CompanyTB (1) stating that their endpoints have frozen and some of the endpoints are displaying a ransom note as a pop up text file. A photo of the text file has been provided to the IT Helpdesk. Employees indicate that they are unable to open or access files on their laptops. They describe files as being encrypted or having unusual extension (".locked"), and any attempts to open them result in error messages or unreadable content.
Reports are continuing to come in, and it is becoming clear that a widespread issue is affecting a significant number of employees across the organization. The situation is being closely monitored as the IT Helpdesk works to gather more information and provide initial guidance to affected users.</t>
  </si>
  <si>
    <t>Company Group IT Security Head
SG/MY CSIRT SOC</t>
  </si>
  <si>
    <t>CompanyLI IT Lead, IT Help Desk &amp; Endpoint Management</t>
  </si>
  <si>
    <t>Company Group IT Security Head
CompanyGI IT Security</t>
  </si>
  <si>
    <t>Company Group IT Security Head
CompanyLI IT Infra Lead
CompanyLI Infra and System Support</t>
  </si>
  <si>
    <t>CompanyGI SCT</t>
  </si>
  <si>
    <t xml:space="preserve">
IT Helpdesk is received calls and emails from two (2) employees of CompanyGI reporting unusual behavior on their corporate laptops.</t>
  </si>
  <si>
    <t>Email from IT Helpdesk to Head, ITSM
IT Helpdesk is currently receiving a surge of calls and emails from two (2) employees of CompanyGI reporting unusual behavior on their corporate laptops. These employees are reporting that their computers have suddenly restarted without warning, and upon reboot, they are greeted with a message demanding payment to regain access to their files. This message appears as a pop up text file. The employees have shared screenshots of their file directories, where they observe that all file names have been altered with a strange extension (".locked"). They mention that when trying to open these files, they receive an error message stating that the files are corrupted or cannot be opened. They have also reported that certain programs, including email clients and office applications, are no longer launching, leaving them unable to perform their daily tasks.</t>
  </si>
  <si>
    <t>After compiling and analyzing the incoming reports from various employees, IT helpdesk has concluded that corporate laptops across CompanyLM (~1200), CompanyL (~400), CompanyG (~200), CompanyGM (~400) and CompanyTB (~200) have been compromised by the same ransomware attack.</t>
  </si>
  <si>
    <t>IT Helpdesk to IT helpdesk Manager. (Continuation of the initial report.
After compiling and analyzing the incoming reports from various employees, IT helpdesk has concluded that corporate laptops across CompanyLM (~1200), CompanyL (~400), CompanyG (~200), CompanyGM (~400) and CompanyTB (~200) have been compromised by the same ransomware attack. The ransomware is displaying consistent behavior across all affected devices, including:
Frozen Screens: A significant number of users report that their laptops have completely frozen, with no response to input commands or attempts to reboot.
Ransom Note Display: A uniform ransom note has been observed across all affected devices, appearing as a pop-up text file in a notepad. The note is demanding payment in cryptocurrency, with detailed instructions on how to make the payment.
File Encryption: Affected laptops are showing files with an unusual extension, ".locked" (or similar), rendering them inaccessible. Any attempts to open these files result in error messages, indicating they have been encrypted by the ransomware.</t>
  </si>
  <si>
    <t>Depending on the imapct on the system in Appendix B of IGPS 5-3-1 COMPUTER SECURITY INCIDENT RESPONSE TEAM (CSIRT) PROCEDURE V2.12, the impact assessment can be conditional raised to "High" by the Head of IT security. Rational being that more than 10 endpoints have been impacted.
IGPS 4-1-1 Service Desk Incident Management Process, Section 1.0, page 4
1.1
Log and Evaluate Incident
Service Desk Support log, prioritze and evaluate incident. Includes the following information:
Incident Description
Priority of the incident based on SLA agreement
1.1.1
Is this a P0?
Production Support (IT Security Manager) confirms the incident is a not P0 (Crisis Severity).
Yes
1.1.2
P0 Incident Handling Process. Enters IT Crisis Management Mode
1.1.4
IT Crisis Management Mode 
Activate IT Incident Notification and Reporting Process to Regulators and inform Regulators within 1 hour.
1.1.5 
Loop of restoring system (IT Helpdesk).
INcident handling ends where when system is restored and ticket is closed by service desk.
This does not escalate to CSIRT.
IGPS 5-3-1 COMPUTER SECURITY INCIDENT RESPONSE TEAM (CSIRT) PROCEDURE V2.12, Pg 7, Section 3
STEP 3.1.3 IT Security Lead to inform GTRM and the Management Tier if the Impact
assessment is High. (4000 endpoints across 7 entities)
STEP 3.1.4 Activate CSRIT
Upon receiving the notification, CSIRT Commander will assess with inputs from relevant teams including Management Tier whether CSIRT activation is warranted based on the following considerations: 
1. It is a computer security incident on Company’s IT infrastructure resulting in unauthorized access or theft of information assets 
2. The severity of the cyber security incident classified as High or Medium. 
CSIRT Commander will decide, with concurrence from GTRM, if CSIRT activation is not warranted. If CSIRT is activated, CSIRT Commander will appoint an Incident Handler. The Incident Handler will contact Incident Manager to activate Incident Conference Bridge and assemble CSIRT team.
STEP 3.1.5 IT Security Lead to inform OCBC CSIRT.
STEP 3.1.6 GTRM will engage with Local TRM to report the security incident to local
regulator.
STEP 3.1.7 Inform regulators (MAS)
For High and Medium security incident, GTRM will obtain concurrence from GCRO and notify GRC to report the security incident to MAS within 1 hour upon discovery of the incident
STEP 3.1.8 Incident containment, eradication and recovery
The Incident Handler to perform containment, eradication and recovery according to the Computer Security Incident Response Team Handling Guidelines.</t>
  </si>
  <si>
    <t>CompanyGI Supervisor IT</t>
  </si>
  <si>
    <t>After compiling and analyzing the incoming reports from various employees, IT helpdesk has concluded that corporate laptops from CompanyGI, approximately 400 employees, have been compromised by the same ransomware attack</t>
  </si>
  <si>
    <t>IT Helpdesk to IT helpdesk Manager. (Continuation of the initial report.
After compiling and analyzing the incoming reports from various employees, IT helpdesk has concluded that corporate laptops from CompanyGI, approximately 400 employees, have been compromised by the same ransomware attack. The ransomware is displaying consistent behavior across all affected devices, including:
Frozen Screens: A significant number of users report that their laptops have completely frozen, with no response to input commands or attempts to reboot.
Ransom Note Display: A uniform ransom note has been observed across all affected devices, appearing as a pop-up text file in a notepad. The note is demanding payment in cryptocurrency, with detailed instructions on how to make the payment.
File Encryption: Affected laptops are showing files with an unusual extension, ".locked" (or similar), rendering them inaccessible. Any attempts to open these files result in error messages, indicating they have been encrypted by the ransomware.</t>
  </si>
  <si>
    <t>Phone call Transcript from customers
Complain emails from customers
Samples of termination notice.
phishing email from threat actor
Customer service team for SG has been overwhelmed with an unusually high volume of inquiries today across multiple communication channels, including phone calls, emails, and live chats through our web and mobile platforms. Customers are expressing significant concern after receiving an email that appears to be from Company &lt;include the fake email with policy termination details in the artefact&gt;, claiming their insurance policies have been terminated. Customer are threatening to cancel policies and make this public. This is on top of normal BAU  volumes experienced by customer service. Observed numnerous phsihing emails in the queue.
Key details observed:
High Call Volume: Our call center is experiencing a significant spike, with wait times increasing as more policyholders call in to verify the status of their policies. Many are reporting anxiety and confusion after receiving what they believe to be an official policy termination notice.
Email Communication: A large number of emails have been received from customers questioning the authenticity of the policy termination email. These emails all share a common format and wording, which suggests a coordinated phishing attempt.
Web and Mobile Live Chats: Live chat sessions have also surged, with customers urgently seeking clarification on the status of their insurance policies. The majority are asking if their policies have indeed been canceled and what actions they should take next.
Policy Status: Upon reviewing the accounts of the customers who have contacted us, we have verified that their policies are intact and unaffected. No legitimate policy termination notices have been issued by our organization.
fake email with false info</t>
  </si>
  <si>
    <t>fake email with false info
Customer service team for MY has been overwhelmed with an unusually high volume of inquiries today across multiple communication channels, including phone calls, emails, and live chats through our web and mobile platforms. Customers are expressing significant concern after receiving an email that appears to be from Company &lt;include the fake email with policy termination details in the artefact&gt;, claiming their insurance policies have been terminated.
Key details observed:
High Call Volume: Our call center is experiencing a significant spike, with wait times increasing as more policyholders call in to verify the status of their policies. Many are reporting anxiety and confusion after receiving what they believe to be an official policy termination notice.
Email Verification: A large number of emails have been received from customers questioning the authenticity of the policy termination email. These emails all share a common format and wording, which suggests a coordinated phishing attempt.
Web and Mobile Live Chats: Live chat sessions have also surged, with customers urgently seeking clarification on the status of their insurance policies. The majority are asking if their policies have indeed been canceled and what actions they should take next.
Policy Status: Upon reviewing the accounts of the customers who have contacted us, we have verified that their policies are intact and unaffected. No legitimate policy termination notices have been issued by our organization.</t>
  </si>
  <si>
    <t>CompanyLI CSIRT</t>
  </si>
  <si>
    <t>Prominent media outlets across Singapore began publishing reports on the incident, significantly raising public awareness and concern. Journalists reached out to Company's Group Corporate Communications team for both the Malaysia and Singapore offices.</t>
  </si>
  <si>
    <t>Following a recent cyber attack on Company, prominent media outlets across Singapore began publishing reports on the incident, significantly raising public awareness and concern. News agencies such as The Straits Times and Channel NewsAsia (CNA) in Singapore, have quickly picked up the story, spotlighting the cybersecurity breach.
In their reports, these media outlets highlighted the critical nature of the breach, noting that Company's customer database, which contains sensitive policyholder information for 16 million individuals, may have been compromised. The news articles speculated that a sophisticated threat actor had infiltrated Company’s systems and could be deleting customer policies, leading to widespread panic among policyholders.
Journalists from these media outlets promptly reached out to Company's Group Corporate Communications team for both the Malaysia and Singapore offices, demanding official statements to clarify the extent of the attack, and potential fraud case, the specific vulnerabilities that were exploited, and the measures Company is taking to mitigate the damage. The widespread coverage has led to mounting public pressure on Company to address the situation transparently and efficiently, as the potential impact on millions of customers has fueled fears and speculations.</t>
  </si>
  <si>
    <t>Crisis Communication Plan v2.0 (2024 Update) (FINAL), Section 6 Communication Management, page 4 and 5
6.1. Press Release and FAQs
- Update press release template according to specific situation
- Work closely with Group GRM and content/business owners to obtain the latest updates
- Clear press release with CMT Chairman. If necessary, CompanyH Chairman’s approval to be sought.
6.2. Media Briefing
Where necessary, GCC will convene a media briefing to update the media.
Arrangements include:
- Issue invite to the media.
- Facilitate at press conference, brief management, manage logistics
These include:
- Media contact list (Appendix A - Media List)
- Laptops / Printer / Video conferencing facility / Directional signs / Table name plates / Microphones / Projector / Screen / Video camera and audio recorder (for recording proceedings)
- Refreshments</t>
  </si>
  <si>
    <t>Prominent media outlets across Malaysia and Singapore began publishing reports on the incident, significantly raising public awareness and concern
Journalists reached out to Company's Group Corporate Communications team for both the Malaysia and Singapore offices.</t>
  </si>
  <si>
    <t>Following a recent cyber attack on Company, prominent media outlets across Malaysia and Singapore began publishing reports on the incident, significantly raising public awareness and concern. News agencies such as The Star, New Straits Times, and Astro Awani, have quickly picked up the story, spotlighting the cybersecurity breach.
In their reports, these media outlets highlighted the critical nature of the breach, noting that Company's customer database, which contains sensitive policyholder information for 16 million individuals, may have been compromised. The news articles speculated that a sophisticated threat actor had infiltrated Company’s systems and could be deleting customer policies, leading to widespread panic among policyholders.
Journalists from these media outlets promptly reached out to Company's Group Corporate Communications team for both the Malaysia and Singapore offices, demanding official statements to clarify the extent of the attack, and potential fraud case, the specific vulnerabilities that were exploited, and the measures Company is taking to mitigate the damage. The widespread coverage has led to mounting public pressure on Company to address the situation transparently and efficiently, as the potential impact on millions of customers has fueled fears and speculations.</t>
  </si>
  <si>
    <t>A surge in negative posts and comments from frustrated Company customers on social media.</t>
  </si>
  <si>
    <t>A surge in negative posts and comments from frustrated Company customers on social media. They are voicing concerns over receiving unexpected policy termination notices and are expressing dissatisfaction with their inability to reach our customer service team for clarification.
Key details observed:
Volume of Posts: There has been a significant increase in posts across platforms such as Facebook and X. Customers are tagging our official accounts, demanding answers, and sharing their frustration with their followers, which is amplifying the reach of these negative messages.
Content of Complaints: The majority of the posts indicate that customers have received emails claiming their insurance policies with Company have been terminated without their consent. Many are expressing panic and anger, stating that they are unable to access our customer service portal due to overwhelming traffic and long wait times.
Impact on Brand Image: The widespread nature of these complaints is beginning to attract attention from broader audiences, including media outlets and influencers in the insurance and financial sectors. This could lead to a larger PR issue if not addressed promptly.</t>
  </si>
  <si>
    <t>Industry regulators contacted Company requesting a detailed report on the cyber attack.</t>
  </si>
  <si>
    <t>Industry regulators in Singapore, Cyber Security Agency of Singapore contacted Company (who in Company?), requesting a detailed report on the cyber attack. These regulatory bodies sought clarification on the nature of the vulnerabilities, the impact on critical systems, the timeline of the incident. This is to track the threat actor active in this case.</t>
  </si>
  <si>
    <t>Industry regulators in Malaysia, National Cyber Security Agency contacted Company (who in Company?), requesting a detailed report on the cyber attack. These regulatory bodies sought clarification on the nature of the vulnerabilities, the impact on critical systems, the timeline of the incident. This is to track the threat actor active in this case.</t>
  </si>
  <si>
    <t>Social media and content channels are currently experiencing a surge in negative posts and comments from frustrated Company customers. They are voicing concerns over receiving unexpected policy termination notices and are expressing dissatisfaction with their inability to reach our customer service team for clarification.
Key details observed:
Volume of Posts: There has been a significant increase in posts across platforms such as Facebook and X. Customers are tagging our official accounts, demanding answers, and sharing their frustration with their followers, which is amplifying the reach of these negative messages.
Content of Complaints: The majority of the posts indicate that customers have received emails claiming their insurance policies with Company have been terminated without their consent. Many are expressing panic and anger, stating that they are unable to access our customer service portal due to overwhelming traffic and long wait times.
Impact on Brand Image: The widespread nature of these complaints is beginning to attract attention from broader audiences, including media outlets and influencers in the insurance and financial sectors. This could lead to a larger PR issue if not addressed promptly.</t>
  </si>
  <si>
    <t>Cybersecurity regulators in Indonesia contacted Company requesting a detailed report on the cyber attack.</t>
  </si>
  <si>
    <t>Relevant cybersecurity regulators in Indonesia, Badan Siber dan Sandi Negara - BSSN, contacted Company (Risk Manager in SCT in CompanyGI), requesting a detailed report on the cyber attack. These regulatory bodies sought clarification on the nature of the vulnerabilities, the impact on critical systems, the timeline of the incident. This is to track the threat actor active in this case.</t>
  </si>
  <si>
    <t>Several prominent media outlets in Indonesia,begun reporting on a significant cybersecurity breach at CompanyLI.
Journalists from these media organizations reached out to CompanyLI's Group Corporate Communications team, pressing for official statements and seeking clarification on the details of the breach.</t>
  </si>
  <si>
    <t>Several prominent media outlets in Indonesia, including Kompas, The Jakarta Post, and Tempo, have begun reporting on a significant cybersecurity breach at CompanyLI. The news has quickly gained traction, drawing widespread public attention and concern.
Journalists from these media organizations have reached out to CompanyLI's Group Corporate Communications team, pressing for official statements and seeking clarification on the details of the breach. They are particularly interested in understanding the scope of the attack, the specific vulnerabilities that were exploited, and the steps CompanyLI is taking to mitigate the impact and prevent further incidents.
The media reports have included sensitive information, such as the fact that Company serves over 16 million policyholders. Alarmingly, the reports suggest that these policyholders are receiving notifications that their insurance policies have been terminated, leading to widespread panic. The media is speculating that the company's customer database has been compromised by a sophisticated threat actor, resulting in the deletion or corruption of critical policy information.</t>
  </si>
  <si>
    <t>Relevant cybersecurity regulators in Indonesia, Badan Siber dan Sandi Negara - BSSN, contacted Company (Risk Manager in SCT in CompanyLI), requesting a detailed report on the cyber attack. These regulatory bodies sought clarification on the nature of the vulnerabilities, the impact on critical systems, the timeline of the incident. This is to track the threat actor active in this case.</t>
  </si>
  <si>
    <t>Update from Company DR Team on a critical issue with the Affinity Exchange backups.</t>
  </si>
  <si>
    <t>5-1-1:
1. Evaluate Impact is Medium/High based on crisis alert levels
2. Activate CSIRT after evaluation of Incident
5-3-1:
3. CSIRT appoint incident handler
4. GTRM to inform regulators
5. Incident Handler to contain, eradicate, recover
6. follow CSIRT incident handling guideline
7. Assess the impact against impact matrix, escalate to head of IT security if needed.
ddos incident handling process: (collect and analyse indicators --&gt; contain --&gt; identify source of attack --&gt; inform MSSP and ISP to heighten monitoring --&gt; refer to ATTACK and ENGACompany for defensive measures --&gt; identify vulnerabilities --&gt; implement network filtering --&gt; temporarily reroute to maintenance page --&gt; seek assistance from ISP --&gt; apply patches to vulnerabilities --&gt; implement security config)
6. incident handler to file security report (with root cause and impact analysis)</t>
  </si>
  <si>
    <t>Content of Complaints: The majority of the posts indicate that customers have received emails claiming their insurance policies with Company have been terminated without their consent. Many are expressing panic and anger, stating that they are unable to access our customer service portal due to overwhelming traffic and long wait times.
Strategic Communication Team observes that members of the public are taking to social media to complain that they are unable to put in their claim their hospitalisation insurance, causing their treatments to be delayed. They further question the reliability of services provided by Company Malaysia.</t>
  </si>
  <si>
    <t>Media outlets in Indonesia, begun reporting on a significant cybersecurity breach at CompanyGI. 
Journalists from these media organizations have reached out to CompanyGI's Group Corporate Communications team, pressing for official statements and seeking clarification on the details of the breach.</t>
  </si>
  <si>
    <t>Several prominent media outlets in Indonesia, including Kompas, Detiknews, have begun reporting on a significant cybersecurity breach at CompanyGI. The news has quickly gained traction, drawing widespread public attention and concern.
Journalists from these media organizations have reached out to CompanyGI's Group Corporate Communications team, pressing for official statements and seeking clarification on the details of the breach. They are particularly interested in understanding the scope of the attack, the specific vulnerabilities that were exploited, and the steps CompanyGI is taking to mitigate the impact and prevent further incidents.
The media reports have included sensitive information, such as the fact that Company serves over 16 million policyholders. Alarmingly, the reports suggest that these policyholders are receiving notifications that their insurance policies have been terminated, leading to widespread panic. The media is speculating that the company's customer database has been compromised by a sophisticated threat actor, resulting in the deletion or corruption of critical policy information.</t>
  </si>
  <si>
    <t>CompanyLI SCT</t>
  </si>
  <si>
    <t>CompanyGI CSIRT</t>
  </si>
  <si>
    <t xml:space="preserve">Company MY CSIRT
Company SG CSIRT
</t>
  </si>
  <si>
    <t>1.4 
Information Security or Severe or aged incident?
Escalate the below incidents to the Support Manager
•Incidents that fall under Information Security,
•Severe incident that impact the operation of Company
•Aged incidents.</t>
  </si>
  <si>
    <t>2.8
Escalate incident to Support Manager
Identify whether incident is a severe, aged or security breach incident.
Escalate below incidents to the Support Manager:
•Incidents that fall under Information Security,
•Severe incident that impact the operation of Company
•Aged incidents.
Support Manager in this context refers to the Production Support Manager.</t>
  </si>
  <si>
    <t>6. 
Submit Initial Incident Report to regulator
With reference to CSIRT Procedure section 2.4.6 (d), TRM will notify Company Regulator Compliance to report High and Medium Security Incident to Regulator within 1 hour upon discovery
Note:
•First reporting with initial IR to be completed within 1 hour for MAS/AMBD (T + 1 hour)
•For BNM, reporting with final IR to be submitted within 1 day via ORION.</t>
  </si>
  <si>
    <t xml:space="preserve">IGPS 4-4-4 Company Disaster Recovery Guidelines V1.8, Section 2.1, page 12 </t>
  </si>
  <si>
    <t>IGPS 4-4-4 Company Disaster Recovery Guidelines V1.8, Section 2.1, page 12-13</t>
  </si>
  <si>
    <t>Company CEO declare DR</t>
  </si>
  <si>
    <t>Company CEO</t>
  </si>
  <si>
    <t>IGPS 4-4-4 Company Disaster Recovery Guidelines V1.8, Section 1.7, page 6</t>
  </si>
  <si>
    <t>IGPS 4-4-4 Company Disaster Recovery Guidelines V1.8, Section 1.7, page 7</t>
  </si>
  <si>
    <t>IGPS 4-4-4 Company Disaster Recovery Guidelines V1.8, Section 2.3, page 17</t>
  </si>
  <si>
    <t>IGPS 4-4-4 Company Disaster Recovery Guidelines V1.8, Section 2.3, page 18</t>
  </si>
  <si>
    <t>IGPS 4-4-4 Company Disaster Recovery Guidelines V1.8, Section 1.9.1, page 9</t>
  </si>
  <si>
    <t>IGPS 4-4-4 Company Disaster Recovery Guidelines V1.8, Section 2.4, page 18-19</t>
  </si>
  <si>
    <t>IGPS 4-4-4 Company Disaster Recovery Guidelines V1.8, Section 2.5, page 19-20</t>
  </si>
  <si>
    <t>STEP 4:
Review justification and evidence
Consider activating heightened monitoring, this should include the notice to OCBC CSOC and Company’s Threat Intelligence Monitoring Services for discovery of known attacks / campaigns or interest in Company and its subsidiaries and / or critical business partners and suppliers.
IF NOT VALID: proceed to step 4.1</t>
  </si>
  <si>
    <t>STEP 3.1.0 Incident alert notification
May originate from the following sources:
a. Company employee who logged tickets to Group IT Service Desk
b. Public user who logged tickets to Customer Service or Call Centers
c. Automated alerts (e.g. automated alerts received from intrusion
detection systems).
d. Managed Security Service Provider (MSSP)
e. IT operations or Data Centre Operations</t>
  </si>
  <si>
    <t>Public user, Company employee, MSSP, IT ops/data center ops</t>
  </si>
  <si>
    <t>STEP 3.1.4 Activate CSRIT
Upon receiving the notification, CSIRT Commander will assess with inputs from relevant teams including Management Tier whether CSIRT activation is warranted based on the following considerations: 
1. It is a computer security incident on Company’s IT infrastructure resulting in unauthorized access or theft of information assets 
2. The severity of the cyber security incident classified as High or Medium. 
CSIRT Commander will decide, with concurrence from GTRM, if CSIRT activation is not warranted. If CSIRT is activated, CSIRT Commander will appoint an Incident Handler. The Incident Handler will contact Incident Manager to activate Incident Conference Bridge and assemble CSIRT team.</t>
  </si>
  <si>
    <t>3.1 Send advisory Alert
OCBC CTI/MSSP send an alert (email) to MSS Company Point of Contact (refer to Section 4) based on their justification and validation of an IOC.</t>
  </si>
  <si>
    <t>3.4 Send Advisory to InfraSec/CompanyGI/CompanyLI
SOC ITSEC send vulnerability alert to InfraSec/CompanyGI/CompanyLI for assessment and remediation.</t>
  </si>
  <si>
    <t>3.7 Any IOC breach?
SOC ITSEC and group IT to check if there is any IOC found in Company’s systems based on 3.6. 
If yes, go to 3.10. 
Else, go to 3.8.</t>
  </si>
  <si>
    <t>3.10 Refer to Company CSIRT Procedure
Should there be any IOC found in Company systems and could potentially be a security incident, SOC ITSEC will need to refer to Company CSIRT Procedure for further actions</t>
  </si>
  <si>
    <t>2.6.2 Containment
Containment strategies vary based on the type of incident. Considerations on the appropriate containment strategy include: 
i. Economic or regulatory impact arising from service unavailability 
ii. Potential breach of confidentiality or integrity to CompanyL’s information assets 
iii. Need for evidence preservation 
iv. Time and resources needed to implement the strategy 
v. Effectiveness of the strategy 
vi. Duration of the containment strategy</t>
  </si>
  <si>
    <t>7.3.4 Review MITRE ATT&amp;CK Framework and ENGACompany matrix for defensive action against
identified TTPs</t>
  </si>
  <si>
    <t>7.3.7 Temporarily re-route affected services to Company Maintenance Page (alternate site), or
disconnect the affected host from the network altogether.</t>
  </si>
  <si>
    <t>12.2 Detection and Analysis
possible indicators of discovery of data exposure or dump on public:
▪ Customer data information exposed in the public tied to
Company
▪ Account Data contains accounts belong to Company with
credentials</t>
  </si>
  <si>
    <t>Notification to BDCB must go thru the CompanyLB-RM&amp;C.</t>
  </si>
  <si>
    <t>6.1. Press Release and FAQs
 Update press release template according to specific situation
 Work closely with Group GRM and content/business owners to obtain the latest updates
 Clear press release with CMT Chairman. If necessary, CompanyH Chairman’s approval to be sought.</t>
  </si>
  <si>
    <t>CompanyL (SG)</t>
  </si>
  <si>
    <t>CompanyG (SG)</t>
  </si>
  <si>
    <t>CompanyLM (MY)</t>
  </si>
  <si>
    <t>CompanyGM (MY)</t>
  </si>
  <si>
    <t>CompanyTB (MY)</t>
  </si>
  <si>
    <t>CompanyLI (ID)</t>
  </si>
  <si>
    <t>CompanyGI (ID)</t>
  </si>
  <si>
    <t>IGPS 5-3-1 Computer Security Incident Response Team (CSIRT) Procedure for IT v2.12, Section 3, page 9
STEP 3.1.4 Activate CSRIT
Upon receiving the notification, CSIRT Commander will assess with inputs from relevant teams including Management Tier whether CSIRT activation is warranted based on the following considerations: 
1. It is a computer security incident on Company’s IT infrastructure resulting in unauthorized access or theft of information assets 
2. The severity of the cyber security incident classified as High or Medium. 
CSIRT Commander will decide, with concurrence from GTRM, if CSIRT activation is not warranted. If CSIRT is activated, CSIRT Commander will appoint an Incident Handler. The Incident Handler will contact Incident Manager to activate Incident Conference Bridge and assemble CSIRT team.
STEP 3.1.5 IT Security Lead to inform OCBC CSIRT.
STEP 3.1.7 Inform regulators
For High and Medium security incident, GTRM will obtain concurrence from GCRO and notify GRC to report the security incident to MAS within 1 hour upon discovery of the incident
STEP 3.1.8 Incident containment, eradication and recovery
The Incident Handler to perform containment, eradication and recovery according to the Computer Security Incident Response Team Handling Guidelines.
IGPS 5-4-1 Computer Security Incident Response Team
(CSIRT) Handling Guideline for IT, Appendix F-1, Section 13, page 33
The notice on Technology Risk Management (“the Notice”) requires financial institutions (“FIs”) to
notify MAS as soon as possible, but must be less than 1 hour, upon the discovery of the relevant
incident. 
IGPS 5-4-1 Computer Security Incident Response Team
(CSIRT) Handling Guideline for IT, Appendix F-2, Section 14, page 34
Financial institutions are required to provide six (6) keys of information (the factors and sub-factors) according to the classification in ORION Cyber Incident Scoring System (CISS) provided by BNM. CISS, which is included into the security incident reporting form in Appendix B.</t>
  </si>
  <si>
    <t>Reply to CSIRT as Business users about the the incident impacts and the extent of damage and disruption to the Group's services and business operations for Affinity Exchange for CompanyGI.
The following are the system functions that will be affected for CompanyGI if Affinity Exchange becomes inaccessible:
Business Partner Disruption: Inaccessibility of Affinity Exchange halts business partner transactions, leading to immediate operational delays and backlog in processing.
Revenue Loss: Delayed transactions result in potential revenue loss as new business and policy renewals cannot be processed.
Customer/Partner Dissatisfaction: The disruption may lead to frustration among partners and customers, damaging relationships and operational efficiency.
The business impacts to CompanyGI would be:
 Immediate revenue loss and potential breach of trust due to service disruption. Reputational risk as customers and partners lose confidence in CompanyGI’s reliability. Over time, prolonged revenue decline and risk of losing business agreements. Strategic initiatives may be delayed as focus shifts to recovery, hindering growth opportunities.</t>
  </si>
  <si>
    <t xml:space="preserve">Customer service emails IT helpdesk that they are receiving many calls from private clinics and hospitals to complain that they intermittently receive an "Error 503" when trying to access the assetP </t>
  </si>
  <si>
    <t>Customer service emails IT helpdesk that they are receiving many calls from private clinics and hospitals to complain that they intermittently receive an "Error 503" when trying to access the assetP for CompanyLM, https://assetP.lifeisgreat.com.my/,  since the morning. As a result, they are unable to upload and retrieve the GL (general liability) insurance coverage of the patients, leading to a backlog of unprocessed claims and approvals.</t>
  </si>
  <si>
    <t>Reply to CSIRT as Business users about the the incident impacts and the extent of damage and disruption to the Group's services and business operations for assetF for CompanyLI.
The following are the system functions that will be affected for CompanyLI if assetF becomes inaccessible:
New Business: Manual processes such as registration, underwriting, and policy issuance.
Policy Servicing &amp; Party Maintenance: This encompasses servicing and maintaining contracts, including tasks like policy inquiry, renewals, customer service alterations (e.g., changing assignments or nominees, adjusting sums assured, adding riders, changing benefits, freelook, cancellation, surrender, and modifying payment methods or frequencies), ILP transactions (e.g., fund switches, premium apportionment changes, premium top-ups), customer service quotations (e.g., QPROJ), and maintaining party information (e.g., basic details, contact information, addresses, account details, roles).
Billing, Collection &amp; Payment: This involves billing and collecting premiums, processing benefit payments (e.g., dividends, maturities, annuities), and making payments to policyholders and service providers (e.g., banks, CPFB, hospitals).
Claims: This includes processing claims related to life insurance, personal accident insurance, and hospitalization.
Reinsurance: This covers the maintenance of treaties and reinsurance records.
Regulatory and Financial Reporting: This involves meeting regulatory requirements and generating financial reports.
The business impacts to CompanyLI would be:
Operation Team will have moderate disruption to their business processes. Over time, CompanyLI might suffered with escalating operational impact and financial impact which associated with customer’s complaint.</t>
  </si>
  <si>
    <t>IR Team reports that Servers hosting assetF application in Main and Backup Datacentres contains malware (Trojan).</t>
  </si>
  <si>
    <t>Reply to CSIRT as Business users about the the incident impacts and the extent of damage and disruption to the Group's services and business operations for assetF for CompanyLM, CompanyL and CompanyTB
The following are the system functions that will be affected for CompanyL, CompanyLM, CompanyTB if assetF becomes inaccessible:
New Business: Manual processes such as registration, underwriting, and policy issuance.
Policy Servicing &amp; Party Maintenance: This encompasses servicing and maintaining contracts, including tasks like policy inquiry, renewals, customer service alterations (e.g., changing assignments or nominees, adjusting sums assured, adding riders, changing benefits, freelook, cancellation, surrender, and modifying payment methods or frequencies), ILP transactions (e.g., fund switches, premium apportionment changes, premium top-ups), customer service quotations (e.g., QPROJ), and maintaining party information (e.g., basic details, contact information, addresses, account details, roles).
Billing, Collection &amp; Payment: This involves billing and collecting premiums, processing benefit payments (e.g., dividends, maturities, annuities), and making payments to policyholders and service providers (e.g., banks, CPFB, hospitals).
Claims: This includes processing claims related to life insurance, personal accident insurance, and hospitalization.
Reinsurance: This covers the maintenance of treaties and reinsurance records.
Regulatory and Financial Reporting: This involves meeting regulatory requirements and generating financial reports.
The business imapcts to CompanyL and CompanyLM would be:
The essential services such as policy servicing, claims processing and payment, issuance of insurance policies (new and renewals), premium collection and payment of benefits etc will be impacted 
Business impacts to CompanyTB would be:
Cases will have to be put on hold until the system is brought back up.  Experience backlog of cases and this will impact not only to internal users but also increase customer processing time. Over time, it will lead to customer complaints, and regulatory non-compliance.</t>
  </si>
  <si>
    <t xml:space="preserve">Checks of the all backups of assetF, assetG reveal that they are affected by Ransomware. </t>
  </si>
  <si>
    <t>Checks of the all backups of assetF, assetG reveal that they are affected by Ransomware. 
Subject: Critical Alert: Ransomware Detected in All assetF and assetG Backups
Dear CSIRT Team,
During our most recent audit, we uncovered a critical issue with the assetF and assetG backups. It has been determined that all backups from the past six months have been encrypted by ransomware, rendering them unusable for recovery. Additionally, it appears that that backups older than six months, up to 12 months's worth of backups seem to have data integrity issues. Initial investigation with IOCs of Ransomware provided seem to indicate that Ransowmare payload is present in the backups. Checks are still on-going for backups earlier than 12 months. Please advise further action.
Key Findings:
Affected Systems: Both assetF and assetG backups have been compromised by ransomware, severely affecting our ability to restore operations.
Backup Timeline: The most recent six months of backups have been encrypted, while older backups are infected with dormant ransomware.
Immediate Risk: Given the compromised state of all available backups, any attempt to restore from these backups will either fail or reinfect the system, making our recovery options extremely limited.</t>
  </si>
  <si>
    <t xml:space="preserve">Reply to CSIRT as Business users about the the incident impacts and the extent of damage and disruption to the Group's services and business operations for assetG for CompanyG and CompanyGM
The following are the system functions that will be affected for CompanyG, CompanyGM if GI-CORE becomes inaccessible:
Unable to issue or generate policies for customers and intermediaries.
Unable to process claims payments.
Unable to obtain the latest policy status and coverage, potentially impacting critical and essential services such as GL issuance and roadside assistance.
Unable to generate and submit regulatory reports to the appropriate authorities.
Unable to process commission payouts to intermediaries on time.
Unable to send data to the IRB for e-invoice generation.
assetG will be inaccessible to business users during end-of-day batch processing, which is performed daily except on Sundays and public holidays.
Business impacts to CompanyG and CompanyGM would be:
Potential for escalation from customers due to the inability to issue urgent, time-sensitive policies (such as Fire &amp; Travel) on time. Additionally, customers may complain about not receiving timely roadside assistance services or being unable to gain admission to hospitals without upfront payment. Over time, complaints or escalations from intermediaries may arise due to delayed commission payouts, and there is a risk of receiving a warning letter from BNM for non-compliance with the client charter.
</t>
  </si>
  <si>
    <t>Checks of the all backups of assetF, assetG reveal that they are affected by Ransomware. 
Subject: Urgent Alert: Ransomware Detected in All assetF and assetG Backups
Dear CSIRT Team,
During our most recent audit, we uncovered a critical issue with the assetF and assetG backups. It has been determined that all backups from the past six months have been encrypted by ransomware, rendering them unusable for recovery. Additionally, it appears that that backups older than six months, up to 12 months's worth of backups seem to have data integrity issues. Initial investigation with IOCs of Ransomware provided seem to indicate that Ransowmare payload is present in the backups. Checks are still on-going for backups earlier than 12 months. Please advise further action.
Key Findings:
Affected Systems: Backups for both assetF and assetG have been found to contain ransomware, compromising their integrity.
Backup Timeline: The infection appears to have propagated through recent backup cycles, rendering the most current and previous backups unusable.
Immediate Risk: With backups compromised, recovery options are severely limited. We must proceed cautiously to avoid further spreading the infection during any restoration attempts.</t>
  </si>
  <si>
    <t>IGPS 5-1-1 Security Events Monitoring Process V2.1, Qradar Security Event Monitoring &amp; Escalation, page 7
STEP 5: Perform remediation actions
To perform remediation action, update the SDP ticket or send email
IT Infra Operations to perform remediation action, update the resolution to the SDP ticket or send email and proceed with closure if issue has been resolved.
Proceed to Step 5.2, if alert remains unresolved and additional remediation actions are required.
STEP 5.2: Escalate Incident to Head of IT Security / CSIRT
SOC team should prepare justification with supporting artefact (“evidence”) documented in Qradar Offense or MSSP Tracker for Head of IT Security / CSIRT to provide situational awareness, support cybersecurity incident severity classification, inform decision to activate CSIRT and relevant playbooks based on triaged cyber incident type.
Perform impact assessment to categorize incident severity (Low/ Medium/ High). Should be high because of the number of servers affected and the criticality of the applications affected.
STEP 5.3: Activate CSIRT 
Output: Review justification and supporting evidence to activate CSIRT
Once CSIRT is confirmed activated for Medium/ High incident, inform IT Incident Manager via emailing to itsm-incident-problem@companylife.com to update the SDP request to incident.
Proceed to Incident Response Security Flow Chart in IGPS 5-3-1
IGPS 5-3-1 Computer Security Incident Response Team (CSIRT) Procedure for IT v2.12, Section 3, page 8, 9
STEP 3.1.2: Impact assessment
SOC refers to Impact Assessment Matrix Handbook in Appendix B to ascertain Incident Severity and obtain concurrence from IT Security Lead
STEP 3.1.3 IT Security Lead to inform GTRM and the Management Tier if the Impact
assessment is High or Medium.</t>
  </si>
  <si>
    <t>Crisis Communication Plan v2.0 (2024 Update) (FINAL), Section 5.2 External Communications, page 4
External Communications
It is important for external communication to key stakeholders to be done in a timely manner, with consistent messaging. The communication channels can include emails, website, phone call and social media.
- Based on pre-prepared media statement templates, update and finalise messages for CMT Chairman through Head GCC for approval.
- Work with respective channel owners to post / publish the communication and updates on the Intranet, company website, SGXNET and social media channels.
Calls from Customers/General Public will be handled by Customer Service Call Centre using the approved communication.</t>
  </si>
  <si>
    <t>Crisis Communication Plan v2.0 (2024 Update) (FINAL), Section 5.1 External Communications, page 4
External Communications
It is important for external communication to key stakeholders to be done in a timely manner, with consistent messaging. The communication channels can include emails, website, phone call and social media.
- Based on pre-prepared media statement templates, update and finalise messages for CMT Chairman through Head GCC for approval.
- Work with respective channel owners to post / publish the communication and updates on the Intranet, company website, SGXNET and social media channels.
Calls from Customers/General Public will be handled by Customer Service Call Centre using the approved communication.</t>
  </si>
  <si>
    <t>Social Media Guidelines 2023 v1.1 CompanyGI 20230809 Final signed, 17.2 Social Media Crisis Category Ranking
Determine the Social Media Crisis Category Ranking to be Level 3 High.
Engage complainant directly on public space within 2 hour: "We do not condone..."
Channel DM if contact details or more info required
First phone call by 2+ hours from time of providing contract details
Post official statement and update the public post by +12 hours from time of posting (if necessary)
Social Media Guidelines 2023 v1.1 CompanyGI 20230809 Final signed, 17.3.2 Dealing with Level 2 &amp; 3 Crisis
Acknowledge any messages and that the concern is being investigated. Transparancy is essential, and giving a clear timeframe for a response will help pacify the situation
Escalate to the relevant PICs internally
Marketing to immediately set up a whatsapp group to include relevant PICs.
Social Media Manager to work with HOD to inform the level 3 PIC and Board of Directors as required.
Work closely with Comms team and refer to the Crisis Communication Plan for more information
Get approval before responding to a negetive post
Keep all internal stakeholders well informed, and have a thorough debrief after the event
Crisis Communication Plan v2.0 (2024 Update) (FINAL), Section 5.2 External Communications, page 4
External Communications
It is important for external communication to key stakeholders to be done in a timely manner, with consistent messaging. The communication channels can include emails, website, phone call and social media.
- Based on pre-prepared media statement templates, update and finalise messages for CMT Chairman through Head GCC for approval.
- Work with respective channel owners to post / publish the communication and updates on the Intranet, company website, SGXNET and social media channels.
Calls from Customers/General Public will be handled by Customer Service Call Centre using the approved communication.</t>
  </si>
  <si>
    <t>Company SOC has identified unusual network traffic across the infrastructure.</t>
  </si>
  <si>
    <t>Exercise Control
(SOC)</t>
  </si>
  <si>
    <t xml:space="preserve">Company SOC has identified unusual network traffic across CompanyL, CompanyG, CompanyLM, CompanyGM, CompanyTB. </t>
  </si>
  <si>
    <t>Email from SOC to IT security Head
Company SOC has identified unusual network traffic across CompanyL, CompanyG, CompanyLM, CompanyGM, CompanyTB. There has been a sudden spike in data transmission, with volumes of encrypted data being sent to external servers. This traffic is also communicating with known malicious IP addresses, which is a common behavior associated with ransomware command-and-control (C2) activities.
IP addresses identified are:
17.91.240.5
17.91.241.10
17.91.242.25
17.91.243.50
17.91.244.75
&lt;Append the Impact Assesment from the Imapct Assessment Matrix Handbook&gt;
In addition, the SOC has detected suspicious processes running on multiple systems simultaneously. These processes are either associated with known ransomware families or are unfamiliar and executing abnormal tasks. The coordinated nature of these activities suggests a widespread ransomware operation. Immediate containment and mitigation measures are recommended.</t>
  </si>
  <si>
    <t xml:space="preserve">Company SOC reports that Servers hosting assetF application as well as their respective databases in Main datacentre are affected by Ransomware.
</t>
  </si>
  <si>
    <t xml:space="preserve">Company SOC reports that Servers hosting assetF application as well as their respective databases in Main datacentre are affected by Ransomware. In addition, HA servers in Backup datacentre complementing the affected servers in Main hosting assetF application and their databases are also affected by Ransomware. Following is a list of all servers affected:
CompanyLI (assetF)
psfpmapgi01
pfpm01gi1 (Conv)
pfpm01tb1 (Takaful)
psfpmapgi02
pfpm01gi2 (Conv)
pfpm01tb2 (pfpm01tb2 (Takaful)
plfpmwbgi01
plfpmwbgi02
</t>
  </si>
  <si>
    <t>Company SOC reports that Servers hosting Affinity Exchange application as well as their respective databases in Main datacentre are affected by Ransomware. In addition, HA servers in Backup datacentre complementing the affected servers in Main hosting Affinity Exchange application and their databases are also affected by Ransomware.</t>
  </si>
  <si>
    <t xml:space="preserve">SOC sends an update to CSIRT informing them that no further spread of Ransomware is detected. Network traffic is normal. </t>
  </si>
  <si>
    <t>SOC sends an update to CSIRT informing them that no further spread of Ransomware is detected. Network traffic is normal. 
Subject: SOC Update: Ransomware Containment Confirmed - Network Traffic Normal
Dear CSIRT Team,
Following our recent incident response efforts, we report that there seems to be no further spread of the ransomware detected across the network. Our continuous monitoring tools have shown a return to normal network traffic patterns, with no unusual activity observed in the past [X] hours.
Key Details:
Containment: The ransomware has been effectively contained, with no new infections detected on endpoints or servers.
Network Traffic: All outbound and inbound traffic is within expected parameters, with no signs of communication with known command-and-control (C2) servers or other malicious IP addresses.
Endpoint Security: Endpoints affected by the ransomware are now isolated and undergoing further forensic analysis.</t>
  </si>
  <si>
    <t>Subject: SOC Update: Ransomware Containment Confirmed - Network Traffic Normal
Dear CSIRT Team,
Following our recent incident response efforts, we are pleased to report that no further spread of the ransomware has been detected across the network. Our continuous monitoring tools have shown a return to normal network traffic patterns, with no unusual activity observed in the past [X] hours.
Key Details:
Containment: The ransomware has been effectively contained, with no new infections detected on endpoints or servers.
Network Traffic: All outbound and inbound traffic is within expected parameters, with no signs of communication with known command-and-control (C2) servers or other malicious IP addresses.
Endpoint Security: Endpoints affected by the ransomware are now isolated and undergoing further forensic analysis.</t>
  </si>
  <si>
    <t>SOC writes a ticket to IT infrastructure reporting that there is a spike in HTTPS requests originating from a large range of IP addresses to Company</t>
  </si>
  <si>
    <t>Volume of Posts: There has been a significant increase in posts across platforms such as Facebook and X. Customers are tagging our official accounts, demanding answers, and sharing their frustration with their followers, which is amplifying the reach of these negative messages.
SOC writes a ticket to IT infrastructure reporting that there is a spike in HTTPS requests originating from a large range of IP addresses to https://assetP.lifeisgreat.com.my/ and consequently, &lt;server name&gt;, &lt;server name&gt;, &lt;server name&gt; web server. The same is observed for any High Availibility (HA) servers as well.</t>
  </si>
  <si>
    <t>Exercise Control (SOC)</t>
  </si>
  <si>
    <t>After evaluating the investigation results and evidence, SOC escalates issue to Head of IT Security, with justification and evidence of a suspected DDoS attack.</t>
  </si>
  <si>
    <t>After evaluating the investigation results and evidence, SOC escalates issue to Head of IT Security, with justification and evidence of a suspected DDoS attack:
1. Majority of the traffic are malformed HTTP requests originating from a large number of IP addresses spread across different geographic locations
2. Significant number of the packets are very small  (&lt; 300 bytes)
3. Multiple long-lived connections to the webserver with extremely slow data transmission rates.</t>
  </si>
  <si>
    <t xml:space="preserve">SOC sends an update to CSIRT infomring them that no further spread of Ransomware is detected. Network traffic is normal. </t>
  </si>
  <si>
    <t>SOC sends an update to CSIRT infomring them that no further spread of Ransomware is detected. Network traffic is normal. 
Subject: SOC Update: Ransomware Containment Confirmed - Network Traffic Normal
Dear CSIRT Team,
Following our recent incident response efforts, we are pleased to report that no further spread of the ransomware has been detected across the network. Our continuous monitoring tools have shown a return to normal network traffic patterns, with no unusual activity observed in the past [X] hours.
Key Details:
Containment: The ransomware has been effectively contained, with no new infections detected on endpoints or servers.
Network Traffic: All outbound and inbound traffic is within expected parameters, with no signs of communication with known command-and-control (C2) servers or other malicious IP addresses.
Endpoint Security: Endpoints affected by the ransomware are now isolated and undergoing further forensic analysis.</t>
  </si>
  <si>
    <t>IR Report/Threat Intel Use  format
Analysis of sample of Ransomware acquired from affected endpoints reveals IOCs that attributes the Ransomware attack to PHULU.
Analysis of affected endpoints reveals the following details regarding the initial access of the PHULU. 
A phishing campaign targeting employees across Company offices in Singapore (SG), Malaysia (MY), and Indonesia (ID) was launched. The campaign exploited a 0-day vulnerability in Microsoft Outlook (CVE-2024-56682), allowing non-interactive exploitation when a malicious email was opened.
Upon opening the phishing email, the MS Outlook 0-day vulnerability (CVE-2024-56682) was triggered. This vulnerability automatically launched the default web browser on the end user's machine without user interaction.
The vulnerability in Chromium-based web browsers (CVE-2024-58872) was exploited when the default web browser (Edge, Chrome) was automatically launched. This exploit leveraged the web browser's update function to download malicious payloads.
The compromised web browsers on the affected endpoints downloaded malicious libraries. These libraries effectively converted the compromised machines into command and control (C2 or CnC) devices under the threat actor’s control.
The threat actor initiated the forced download of ransomware onto the compromised endpoints. The ransomware was configured with time-based triggers and remote execution features, allowing it to execute without user interaction.
The ransomware-infected endpoints began automatically sending exploit-laced emails to other contacts stored within the compromised systems. This led to further infections across the network as additional endpoints were compromised through this internal email propagation.
The threat actor leveraged the compromised endpoints to iterate through the network. The infection spread from user endpoints to backend systems, including those housing critical business operations which includes Servers hosting assetF application and their data in Main and Backup datacentre.
IR Team reports that Servers hosting assetF application in Main and Backup Datacentres contains malware (Trojan). Logs from databases containing data from assetF application indicate that data exfiltration has occurred according to the Trojan's behavior. It appears the malware (Trojan) sperated the data into 5MB files and distributed by the malware (Trojan) to infected employee laptops.
Further analysis on infected laptops reveal that 5MB files received from the infected Database Severs were forwarded to Threat Actor Command and Control through the compromised Chromium based web browsers. 
Total size of data exfiltrated adds up to 120 GB over 2 days.</t>
  </si>
  <si>
    <t>Company SOC () reports that Servers hosting Affinity Exchange application as well as their respective databases in Main datacentre are affected by Ransomware. In addition, HA servers in Backup datacentre complementing the affected servers in Main hosting Affinity Exchange application and their databases are also affected by Ransomware. Following is a list of all servers affected:
CompanyGI (Affinity Exchange)
&lt;insert servers here&gt;</t>
  </si>
  <si>
    <t>IT Security Lead to inform GTRM and Management Tier if Impact Assessment is High or Medium (Not Artefact, for  to reference Company documentation)</t>
  </si>
  <si>
    <t>Containment (Not Artefact, for  to reference Company documentation)</t>
  </si>
  <si>
    <t>Company SOC () has identified unusual network traffic across the infrastructure. There has been a sudden spike in data transmission, with large volumes of encrypted data being sent to external servers. This traffic is also communicating with known malicious IP addresses, which is a common behavior associated with ransomware command-and-control (C2) activities.
IP addresses identified are:
17.91.245.100
17.91.246.125
17.91.247.150
In addition, the SOC has detected suspicious processes running on multiple systems simultaneously. These processes are either associated with known ransomware families or are unfamiliar and executing abnormal tasks. The coordinated nature of these activities suggests a widespread ransomware operation. Immediate containment and mitigation measures are recommended.</t>
  </si>
  <si>
    <t>Company SOC () has identified unusual network traffic across the infrastructure. There has been a sudden spike in data transmission, with large volumes of encrypted data being sent to external servers. This traffic is also communicating with known malicious IP addresses, which is a common behavior associated with ransomware command-and-control (C2) activities.
IP addresses identified are:
17.91.247.200
17.91.247.254
In addition, the SOC has detected suspicious processes running on multiple systems simultaneously. These processes are either associated with known ransomware families or are unfamiliar and executing abnormal tasks. The coordinated nature of these activities suggests a widespread ransomware operation. Immediate containment and mitigation measures are recommended.</t>
  </si>
  <si>
    <t>Company SOC () reports that Servers hosting assetF and assetG application as well as their respective databases in Cyberjaya datacentre are affected by Ransomware.</t>
  </si>
  <si>
    <t>Company SOC () reports that Servers hosting assetF and assetG application as well as their respective databases in Cyberjaya datacentre are affected by Ransomware. In addition, HA servers in Loyang datacentre complementing the affected servers in Cyberjaya hosting assetF and assetG application and their databases are also affected by Ransomware. Following is a list of all servers affected:
CompanyLM/CompanyL (assetF)
ytlokryts01
ytlokryts02
ytlokryts03
ytlokryts04
ytlokryts05
ytlokryts06
ohbrgnjgl01
ohbrgnjgl02
wsfiycygc01
wsfiycygc02
pegrt1bh01
PassetFMY2 (Primary)
PassetFDCM2 (Day DB)
pegrta102
PassetFMCM1 (Month DB)
PassetFME1 (External)
CompanyTB (assetF)
ytiokruvw01
ytiokruvw02
ytiokruvw03
ytiokruvw04
pltkojhgd01
pltkojhgd02
poxp01ym (Primary)
poxd02ym (Day)
poxm03ym (Month)
poxe04ym (External)
CompanyGM/CompanyG (assetG)
watermelonhbf0A
watermelonhbf0B
watermelonhbf0C</t>
  </si>
  <si>
    <t>IR Report/Threat Intel Use  format
Analysis of sample of Ransomware acquired from affected endpoints reveals IOCs that attributes the Ransomware attack to PHULU.
Analysis of affected endpoints reveals the following details regarding the initial access of the PHULU. 
A phishing campaign targeting employees across Company offices in Singapore (SG), Malaysia (MY), and Indonesia (ID) was launched. The campaign exploited a 0-day vulnerability in Microsoft Outlook (CVE-2024-56682), allowing non-interactive exploitation when a malicious email was opened.
Upon opening the phishing email, the MS Outlook 0-day vulnerability (CVE-2024-56682) was triggered. This vulnerability automatically launched the default web browser on the end user's machine without user interaction.
The vulnerability in Chromium-based web browsers (CVE-2024-58872) was exploited when the default web browser (Edge, Chrome) was automatically launched. This exploit leveraged the web browser's update function to download malicious payloads.
The compromised web browsers on the affected endpoints downloaded malicious libraries. These libraries effectively converted the compromised machines into command and control (C2 or CnC) devices under the threat actor’s control.
The threat actor initiated the forced download of ransomware onto the compromised endpoints. The ransomware was configured with time-based triggers and remote execution features, allowing it to execute without user interaction.
The ransomware-infected endpoints began automatically sending exploit-laced emails to other contacts stored within the compromised systems. This led to further infections across the network as additional endpoints were compromised through this internal email propagation.
The threat actor leveraged the compromised endpoints to iterate through the network. The infection spread from user endpoints to backend systems, including those housing critical business operations which includes Servers hosting assetF, assetG application and their data in Cyberjaya and Loyang datacentre.
IR Team reports that Servers hosting assetF, assetG application in Cyberjaya and Loyang Datacentres contains malware (Trojan). Logs from databases containing data from assetF, assetG and Takeful application indicate that data exfiltration has occurred according to the Trojan's behavior. It appears the malware (Trojan) sperated the data into 5MB files and distributed by the malware (Trojan) to infected employee laptops.
Further analysis on infected laptops reveal that 5MB files received from the infected Database Severs were forwarded to Threat Actor Command and Control through the compromised Chromium based web browsers. 
Total size of data exfiltrated adds up to 185 GB over 2 days.</t>
  </si>
  <si>
    <t>IR Report/Threat Intel Use  format
Analysis of sample of Ransomware acquired from affected endpoints reveals IOCs that attributes the Ransomware attack to PHULU.
Analysis of affected endpoints reveals the following details regarding the initial access of the PHULU. 
A phishing campaign targeting employees across Company offices in Singapore (SG), Malaysia (MY), and Indonesia (ID) was launched. The campaign exploited a 0-day vulnerability in Microsoft Outlook (CVE-2024-56682), allowing non-interactive exploitation when a malicious email was opened.
Upon opening the phishing email, the MS Outlook 0-day vulnerability (CVE-2024-56682) was triggered. This vulnerability automatically launched the default web browser on the end user's machine without user interaction.
The vulnerability in Chromium-based web browsers (CVE-2024-58872) was exploited when the default web browser (Edge, Chrome) was automatically launched. This exploit leveraged the web browser's update function to download malicious payloads.
The compromised web browsers on the affected endpoints downloaded malicious libraries. These libraries effectively converted the compromised machines into command and control (C2 or CnC) devices under the threat actor’s control.
The threat actor initiated the forced download of ransomware onto the compromised endpoints. The ransomware was configured with time-based triggers and remote execution features, allowing it to execute without user interaction.
The ransomware-infected endpoints began automatically sending exploit-laced emails to other contacts stored within the compromised systems. This led to further infections across the network as additional endpoints were compromised through this internal email propagation.
The threat actor leveraged the compromised endpoints to iterate through the network. The infection spread from user endpoints to backend systems, including those housing critical business operations which includes Servers hosting Affinity Exchange application and their data in Main and Backup datacentre.
IR Team reports that Servers hosting Affinity Exchange application in Main and Backup Datacentres contains malware (Trojan). Logs from databases containing data from Affinity Exchange application indicate that data exfiltration has occurred according to the Trojan's behavior. It appears the malware (Trojan) sperated the data into 5MB files and distributed by the malware (Trojan) to infected employee laptops.
Further analysis on infected laptops reveal that 5MB files received from the infected Database Severs were forwarded to Threat Actor Command and Control through the compromised Chromium based web browsers. 
Total size of data exfiltrated adds up to 120 GB over 2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</si>
</sst>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53">
    <font>
      <sz val="12"/>
      <color theme="1"/>
      <name val="Helvetica"/>
      <family val="2"/>
    </font>
    <font>
      <sz val="12"/>
      <color theme="0"/>
      <name val="Helvetica"/>
      <family val="2"/>
    </font>
    <font>
      <b/>
      <sz val="12"/>
      <color theme="1"/>
      <name val="Helvetica"/>
      <family val="2"/>
    </font>
    <font>
      <sz val="12"/>
      <color theme="1"/>
      <name val="Helvetica"/>
      <family val="2"/>
    </font>
    <font>
      <b/>
      <sz val="12"/>
      <color rgb="FF0070C0"/>
      <name val="Helvetica"/>
      <family val="2"/>
    </font>
    <font>
      <b/>
      <sz val="12"/>
      <color theme="0"/>
      <name val="Helvetica"/>
      <family val="2"/>
    </font>
    <font>
      <b/>
      <sz val="12"/>
      <color theme="1"/>
      <name val="Helvetica"/>
      <family val="2"/>
    </font>
    <font>
      <b/>
      <sz val="12"/>
      <color rgb="FF0070C0"/>
      <name val="Helvetica"/>
      <family val="2"/>
    </font>
    <font>
      <sz val="8"/>
      <name val="Helvetica"/>
      <family val="2"/>
    </font>
    <font>
      <b/>
      <sz val="12"/>
      <color theme="0"/>
      <name val="Helvetica"/>
      <family val="2"/>
    </font>
    <font>
      <b/>
      <sz val="12"/>
      <color theme="1"/>
      <name val="Arial"/>
      <family val="2"/>
    </font>
    <font>
      <sz val="12"/>
      <color theme="1"/>
      <name val="Arial"/>
      <family val="2"/>
    </font>
    <font>
      <b/>
      <sz val="12"/>
      <color theme="0"/>
      <name val="Arial"/>
      <family val="2"/>
    </font>
    <font>
      <b/>
      <i/>
      <sz val="12"/>
      <color theme="1"/>
      <name val="Arial"/>
      <family val="2"/>
    </font>
    <font>
      <sz val="12"/>
      <color theme="1"/>
      <name val="Helvetica"/>
      <family val="2"/>
    </font>
    <font>
      <sz val="14"/>
      <color theme="1"/>
      <name val="Helvetica"/>
      <family val="2"/>
    </font>
    <font>
      <sz val="14"/>
      <color theme="1"/>
      <name val="Helvetica"/>
      <family val="2"/>
    </font>
    <font>
      <b/>
      <sz val="14"/>
      <color rgb="FF000000"/>
      <name val="Helvetica"/>
      <family val="2"/>
    </font>
    <font>
      <b/>
      <sz val="14"/>
      <color theme="1"/>
      <name val="Helvetica"/>
      <family val="2"/>
    </font>
    <font>
      <b/>
      <sz val="14"/>
      <color theme="1"/>
      <name val="Helvetica"/>
      <family val="2"/>
    </font>
    <font>
      <sz val="14"/>
      <color rgb="FF000000"/>
      <name val="Helvetica"/>
      <family val="2"/>
    </font>
    <font>
      <sz val="14"/>
      <color rgb="FF000000"/>
      <name val="Helvetica"/>
      <family val="2"/>
    </font>
    <font>
      <sz val="14"/>
      <color theme="0"/>
      <name val="Helvetica"/>
      <family val="2"/>
    </font>
    <font>
      <sz val="14"/>
      <name val="Arial"/>
      <family val="2"/>
    </font>
    <font>
      <b/>
      <sz val="14"/>
      <color rgb="FF000000"/>
      <name val="Helvetica"/>
      <family val="2"/>
    </font>
    <font>
      <sz val="14"/>
      <color theme="0"/>
      <name val="Helvetica"/>
      <family val="2"/>
    </font>
    <font>
      <b/>
      <sz val="14"/>
      <color theme="1"/>
      <name val="Calibri Light"/>
      <family val="2"/>
    </font>
    <font>
      <sz val="14"/>
      <color rgb="FF000000"/>
      <name val="Calibri Light"/>
      <family val="2"/>
    </font>
    <font>
      <sz val="14"/>
      <color theme="1"/>
      <name val="Calibri Light"/>
      <family val="2"/>
    </font>
    <font>
      <sz val="14"/>
      <color theme="0"/>
      <name val="Calibri Light"/>
      <family val="2"/>
    </font>
    <font>
      <sz val="14"/>
      <name val="Calibri Light"/>
      <family val="2"/>
    </font>
    <font>
      <b/>
      <sz val="14"/>
      <name val="Helvetica"/>
      <family val="2"/>
    </font>
    <font>
      <sz val="14"/>
      <name val="Helvetica"/>
      <family val="2"/>
    </font>
    <font>
      <sz val="14"/>
      <color rgb="FF000000"/>
      <name val="Helvetica "/>
    </font>
    <font>
      <sz val="14"/>
      <color theme="1"/>
      <name val="Helvetica "/>
    </font>
    <font>
      <u/>
      <sz val="12"/>
      <color theme="10"/>
      <name val="Helvetica"/>
      <family val="2"/>
    </font>
    <font>
      <vertAlign val="superscript"/>
      <sz val="14"/>
      <name val="Helvetica"/>
      <family val="2"/>
    </font>
    <font>
      <vertAlign val="superscript"/>
      <sz val="14"/>
      <color rgb="FF000000"/>
      <name val="Helvetica"/>
      <family val="2"/>
    </font>
    <font>
      <sz val="14"/>
      <color rgb="FF000000"/>
      <name val="Arial"/>
      <family val="2"/>
    </font>
    <font>
      <sz val="14"/>
      <color theme="1"/>
      <name val="Arial"/>
      <family val="2"/>
    </font>
    <font>
      <sz val="12"/>
      <name val="Helvetica"/>
      <family val="2"/>
    </font>
    <font>
      <sz val="12"/>
      <name val="Arial"/>
      <family val="2"/>
    </font>
    <font>
      <sz val="12"/>
      <name val="Helvetica"/>
      <family val="2"/>
    </font>
    <font>
      <sz val="12"/>
      <color rgb="FF00B050"/>
      <name val="Helvetica"/>
      <family val="2"/>
    </font>
    <font>
      <sz val="12"/>
      <color rgb="FF00B050"/>
      <name val="Helvetica"/>
      <family val="2"/>
    </font>
    <font>
      <b/>
      <sz val="9"/>
      <color theme="0"/>
      <name val="Helvetica"/>
      <family val="2"/>
    </font>
    <font>
      <sz val="9"/>
      <color theme="1"/>
      <name val="Helvetica"/>
      <family val="2"/>
    </font>
    <font>
      <b/>
      <sz val="9"/>
      <color theme="0"/>
      <name val="Helvetica"/>
      <family val="2"/>
    </font>
    <font>
      <b/>
      <sz val="9"/>
      <color theme="1"/>
      <name val="Helvetica"/>
      <family val="2"/>
    </font>
    <font>
      <sz val="9"/>
      <name val="Helvetica"/>
      <family val="2"/>
    </font>
    <font>
      <i/>
      <sz val="12"/>
      <color theme="1"/>
      <name val="Helvetica"/>
      <family val="2"/>
    </font>
    <font>
      <sz val="12"/>
      <color rgb="FFFF0000"/>
      <name val="Helvetica"/>
      <family val="2"/>
    </font>
    <font>
      <b/>
      <sz val="12"/>
      <name val="Helvetica"/>
      <family val="2"/>
    </font>
  </fonts>
  <fills count="25">
    <fill>
      <patternFill patternType="none"/>
    </fill>
    <fill>
      <patternFill patternType="gray125"/>
    </fill>
    <fill>
      <patternFill patternType="solid">
        <fgColor theme="5" tint="0.39997558519241921"/>
        <bgColor indexed="64"/>
      </patternFill>
    </fill>
    <fill>
      <patternFill patternType="solid">
        <fgColor theme="5"/>
        <bgColor indexed="64"/>
      </patternFill>
    </fill>
    <fill>
      <patternFill patternType="solid">
        <fgColor theme="5" tint="0.79998168889431442"/>
        <bgColor indexed="64"/>
      </patternFill>
    </fill>
    <fill>
      <patternFill patternType="solid">
        <fgColor theme="4"/>
        <bgColor indexed="64"/>
      </patternFill>
    </fill>
    <fill>
      <patternFill patternType="solid">
        <fgColor rgb="FF0070C0"/>
        <bgColor indexed="64"/>
      </patternFill>
    </fill>
    <fill>
      <patternFill patternType="solid">
        <fgColor rgb="FF00B050"/>
        <bgColor indexed="64"/>
      </patternFill>
    </fill>
    <fill>
      <patternFill patternType="solid">
        <fgColor theme="1"/>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3"/>
        <bgColor indexed="64"/>
      </patternFill>
    </fill>
    <fill>
      <patternFill patternType="solid">
        <fgColor theme="3" tint="0.39997558519241921"/>
        <bgColor indexed="64"/>
      </patternFill>
    </fill>
    <fill>
      <patternFill patternType="solid">
        <fgColor rgb="FFC00000"/>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rgb="FFFF0000"/>
        <bgColor indexed="64"/>
      </patternFill>
    </fill>
    <fill>
      <patternFill patternType="solid">
        <fgColor rgb="FF008000"/>
        <bgColor indexed="64"/>
      </patternFill>
    </fill>
    <fill>
      <patternFill patternType="solid">
        <fgColor rgb="FFFFFF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rgb="FF000000"/>
      </bottom>
      <diagonal/>
    </border>
    <border>
      <left style="thin">
        <color theme="0" tint="-0.249977111117893"/>
      </left>
      <right style="thin">
        <color theme="0" tint="-0.249977111117893"/>
      </right>
      <top style="thin">
        <color theme="0" tint="-0.249977111117893"/>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indexed="64"/>
      </top>
      <bottom/>
      <diagonal/>
    </border>
    <border>
      <left/>
      <right/>
      <top/>
      <bottom style="thin">
        <color indexed="64"/>
      </bottom>
      <diagonal/>
    </border>
    <border>
      <left/>
      <right/>
      <top style="thin">
        <color auto="1"/>
      </top>
      <bottom style="thin">
        <color auto="1"/>
      </bottom>
      <diagonal/>
    </border>
  </borders>
  <cellStyleXfs count="5">
    <xf numFmtId="0" fontId="0" fillId="0" borderId="0"/>
    <xf numFmtId="43" fontId="14" fillId="0" borderId="0" applyFont="0" applyFill="0" applyBorder="0" applyAlignment="0" applyProtection="0"/>
    <xf numFmtId="0" fontId="35" fillId="0" borderId="0" applyNumberForma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cellStyleXfs>
  <cellXfs count="379">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wrapText="1"/>
    </xf>
    <xf numFmtId="0" fontId="4" fillId="0" borderId="1" xfId="0" applyFont="1" applyBorder="1" applyAlignment="1">
      <alignment horizontal="center" vertical="center"/>
    </xf>
    <xf numFmtId="0" fontId="0" fillId="0" borderId="0" xfId="0" applyAlignment="1">
      <alignment wrapText="1"/>
    </xf>
    <xf numFmtId="0" fontId="0" fillId="0" borderId="1" xfId="0" applyBorder="1" applyAlignment="1">
      <alignment horizontal="center" vertical="center" wrapText="1"/>
    </xf>
    <xf numFmtId="0" fontId="7" fillId="0" borderId="1"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wrapText="1"/>
    </xf>
    <xf numFmtId="0" fontId="0" fillId="13" borderId="1" xfId="0" applyFill="1" applyBorder="1" applyAlignment="1">
      <alignment horizontal="center" vertical="center"/>
    </xf>
    <xf numFmtId="0" fontId="5" fillId="6" borderId="1" xfId="0" applyFont="1" applyFill="1" applyBorder="1" applyAlignment="1">
      <alignment horizontal="center" vertical="center"/>
    </xf>
    <xf numFmtId="0" fontId="0" fillId="9" borderId="1" xfId="0"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vertical="center" wrapText="1"/>
    </xf>
    <xf numFmtId="0" fontId="12" fillId="8" borderId="7" xfId="0" applyFont="1" applyFill="1" applyBorder="1" applyAlignment="1">
      <alignment horizontal="center" vertical="center"/>
    </xf>
    <xf numFmtId="0" fontId="5" fillId="6" borderId="1" xfId="0" applyFont="1" applyFill="1" applyBorder="1" applyAlignment="1">
      <alignment horizontal="center" vertical="center" wrapText="1"/>
    </xf>
    <xf numFmtId="0" fontId="1" fillId="0" borderId="0" xfId="0" applyFont="1" applyAlignment="1">
      <alignment horizontal="center" vertical="center"/>
    </xf>
    <xf numFmtId="0" fontId="0" fillId="0" borderId="1" xfId="0" applyBorder="1" applyAlignment="1">
      <alignment horizontal="center" vertical="center"/>
    </xf>
    <xf numFmtId="0" fontId="15" fillId="0" borderId="0" xfId="0" applyFont="1"/>
    <xf numFmtId="0" fontId="15" fillId="0" borderId="0" xfId="0" applyFont="1" applyAlignment="1">
      <alignment horizontal="left"/>
    </xf>
    <xf numFmtId="0" fontId="16" fillId="0" borderId="0" xfId="0" applyFont="1" applyAlignment="1">
      <alignment horizontal="left" vertical="center" wrapText="1"/>
    </xf>
    <xf numFmtId="0" fontId="16" fillId="0" borderId="0" xfId="0" applyFont="1" applyAlignment="1">
      <alignment vertical="center" wrapText="1"/>
    </xf>
    <xf numFmtId="0" fontId="15" fillId="0" borderId="0" xfId="0" applyFont="1" applyAlignment="1">
      <alignment horizontal="center"/>
    </xf>
    <xf numFmtId="0" fontId="15" fillId="0" borderId="0" xfId="0" applyFont="1" applyAlignment="1">
      <alignment vertical="center" wrapText="1"/>
    </xf>
    <xf numFmtId="0" fontId="15" fillId="0" borderId="0" xfId="0" applyFont="1" applyAlignment="1">
      <alignment vertical="center"/>
    </xf>
    <xf numFmtId="0" fontId="17" fillId="20" borderId="1" xfId="0" applyFont="1" applyFill="1" applyBorder="1" applyAlignment="1">
      <alignment horizontal="center" vertical="center" wrapText="1" readingOrder="1"/>
    </xf>
    <xf numFmtId="0" fontId="18" fillId="20" borderId="1" xfId="0" applyFont="1" applyFill="1" applyBorder="1" applyAlignment="1">
      <alignment horizontal="center" vertical="center" wrapText="1" readingOrder="1"/>
    </xf>
    <xf numFmtId="0" fontId="17" fillId="20" borderId="2" xfId="0" applyFont="1" applyFill="1" applyBorder="1" applyAlignment="1">
      <alignment horizontal="center" vertical="center" wrapText="1" readingOrder="1"/>
    </xf>
    <xf numFmtId="0" fontId="18" fillId="0" borderId="0" xfId="0" applyFont="1" applyAlignment="1">
      <alignment horizontal="center"/>
    </xf>
    <xf numFmtId="0" fontId="21" fillId="0" borderId="2" xfId="0" applyFont="1" applyBorder="1" applyAlignment="1">
      <alignment vertical="center" wrapText="1" readingOrder="1"/>
    </xf>
    <xf numFmtId="0" fontId="21" fillId="0" borderId="2" xfId="0" applyFont="1" applyBorder="1" applyAlignment="1">
      <alignment horizontal="center" vertical="center" wrapText="1" readingOrder="1"/>
    </xf>
    <xf numFmtId="0" fontId="17" fillId="0" borderId="1" xfId="0" applyFont="1" applyBorder="1" applyAlignment="1">
      <alignment horizontal="left" vertical="center" wrapText="1" readingOrder="1"/>
    </xf>
    <xf numFmtId="0" fontId="24" fillId="0" borderId="2" xfId="0" applyFont="1" applyBorder="1" applyAlignment="1">
      <alignment horizontal="left" vertical="center" wrapText="1" readingOrder="1"/>
    </xf>
    <xf numFmtId="0" fontId="17" fillId="0" borderId="2" xfId="0" applyFont="1" applyBorder="1" applyAlignment="1">
      <alignment horizontal="left" vertical="center" wrapText="1" readingOrder="1"/>
    </xf>
    <xf numFmtId="0" fontId="21" fillId="0" borderId="3" xfId="0" applyFont="1" applyBorder="1" applyAlignment="1">
      <alignment horizontal="center" vertical="center" wrapText="1" readingOrder="1"/>
    </xf>
    <xf numFmtId="0" fontId="21" fillId="0" borderId="4" xfId="0" applyFont="1" applyBorder="1" applyAlignment="1">
      <alignment horizontal="center" vertical="center" wrapText="1" readingOrder="1"/>
    </xf>
    <xf numFmtId="0" fontId="16" fillId="0" borderId="1" xfId="0" applyFont="1" applyBorder="1" applyAlignment="1">
      <alignment vertical="center" wrapText="1"/>
    </xf>
    <xf numFmtId="0" fontId="16" fillId="0" borderId="2" xfId="0" applyFont="1" applyBorder="1" applyAlignment="1">
      <alignment vertical="center" wrapText="1"/>
    </xf>
    <xf numFmtId="0" fontId="24" fillId="0" borderId="4" xfId="0" applyFont="1" applyBorder="1" applyAlignment="1">
      <alignment horizontal="left" vertical="center" wrapText="1" readingOrder="1"/>
    </xf>
    <xf numFmtId="0" fontId="15" fillId="12" borderId="1" xfId="0" applyFont="1" applyFill="1" applyBorder="1" applyAlignment="1">
      <alignment horizontal="center" vertical="center"/>
    </xf>
    <xf numFmtId="0" fontId="21" fillId="0" borderId="0" xfId="0" applyFont="1" applyAlignment="1">
      <alignment horizontal="left" vertical="center" wrapText="1" readingOrder="1"/>
    </xf>
    <xf numFmtId="0" fontId="15" fillId="21" borderId="1" xfId="0" applyFont="1" applyFill="1" applyBorder="1" applyAlignment="1">
      <alignment horizontal="center" vertical="center"/>
    </xf>
    <xf numFmtId="0" fontId="15" fillId="7" borderId="1" xfId="0" applyFont="1" applyFill="1" applyBorder="1" applyAlignment="1">
      <alignment horizontal="center" vertical="center"/>
    </xf>
    <xf numFmtId="0" fontId="28" fillId="0" borderId="0" xfId="0" applyFont="1"/>
    <xf numFmtId="0" fontId="16" fillId="0" borderId="1" xfId="0" applyFont="1" applyBorder="1" applyAlignment="1">
      <alignment horizontal="center" vertical="center"/>
    </xf>
    <xf numFmtId="0" fontId="15" fillId="0" borderId="1" xfId="0" applyFont="1" applyBorder="1" applyAlignment="1">
      <alignment horizontal="center"/>
    </xf>
    <xf numFmtId="0" fontId="22" fillId="0" borderId="0" xfId="0" applyFont="1" applyAlignment="1">
      <alignment horizontal="center" vertical="center" wrapText="1" readingOrder="1"/>
    </xf>
    <xf numFmtId="0" fontId="17" fillId="0" borderId="3" xfId="0" applyFont="1" applyBorder="1" applyAlignment="1">
      <alignment horizontal="left" vertical="center" wrapText="1" readingOrder="1"/>
    </xf>
    <xf numFmtId="0" fontId="17" fillId="0" borderId="4" xfId="0" applyFont="1" applyBorder="1" applyAlignment="1">
      <alignment horizontal="left" vertical="center" wrapText="1" readingOrder="1"/>
    </xf>
    <xf numFmtId="0" fontId="21" fillId="0" borderId="4" xfId="0" applyFont="1" applyBorder="1" applyAlignment="1">
      <alignment vertical="center" wrapText="1" readingOrder="1"/>
    </xf>
    <xf numFmtId="0" fontId="31" fillId="0" borderId="1" xfId="0" applyFont="1" applyBorder="1" applyAlignment="1">
      <alignment horizontal="left" vertical="center" wrapText="1" readingOrder="1"/>
    </xf>
    <xf numFmtId="0" fontId="31" fillId="0" borderId="2" xfId="0" applyFont="1" applyBorder="1" applyAlignment="1">
      <alignment horizontal="left" vertical="center" wrapText="1" readingOrder="1"/>
    </xf>
    <xf numFmtId="0" fontId="32" fillId="0" borderId="1" xfId="0" applyFont="1" applyBorder="1" applyAlignment="1">
      <alignment horizontal="center" vertical="center" wrapText="1" readingOrder="1"/>
    </xf>
    <xf numFmtId="0" fontId="32" fillId="0" borderId="2" xfId="0" applyFont="1" applyBorder="1" applyAlignment="1">
      <alignment horizontal="center" vertical="center" wrapText="1" readingOrder="1"/>
    </xf>
    <xf numFmtId="0" fontId="32" fillId="0" borderId="1" xfId="0" applyFont="1" applyBorder="1" applyAlignment="1">
      <alignment horizontal="left" vertical="center" wrapText="1" readingOrder="1"/>
    </xf>
    <xf numFmtId="0" fontId="23" fillId="0" borderId="1" xfId="0" applyFont="1" applyBorder="1" applyAlignment="1">
      <alignment vertical="center" wrapText="1"/>
    </xf>
    <xf numFmtId="0" fontId="32" fillId="0" borderId="2" xfId="0" applyFont="1" applyBorder="1" applyAlignment="1">
      <alignment horizontal="left" vertical="center" wrapText="1" readingOrder="1"/>
    </xf>
    <xf numFmtId="0" fontId="21" fillId="0" borderId="3" xfId="0" applyFont="1" applyBorder="1" applyAlignment="1">
      <alignment horizontal="left" vertical="center" wrapText="1" readingOrder="1"/>
    </xf>
    <xf numFmtId="0" fontId="21" fillId="0" borderId="3" xfId="0" applyFont="1" applyBorder="1" applyAlignment="1">
      <alignment vertical="center" wrapText="1" readingOrder="1"/>
    </xf>
    <xf numFmtId="0" fontId="32" fillId="0" borderId="1" xfId="0" applyFont="1" applyBorder="1" applyAlignment="1">
      <alignment vertical="center" wrapText="1"/>
    </xf>
    <xf numFmtId="0" fontId="17" fillId="20" borderId="2" xfId="0" applyFont="1" applyFill="1" applyBorder="1" applyAlignment="1">
      <alignment horizontal="left" vertical="center" wrapText="1" readingOrder="1"/>
    </xf>
    <xf numFmtId="0" fontId="17" fillId="0" borderId="8" xfId="0" applyFont="1" applyBorder="1" applyAlignment="1">
      <alignment horizontal="left" vertical="center" wrapText="1" readingOrder="1"/>
    </xf>
    <xf numFmtId="0" fontId="16" fillId="0" borderId="0" xfId="0" applyFont="1" applyAlignment="1">
      <alignment horizontal="center" vertical="center" wrapText="1"/>
    </xf>
    <xf numFmtId="0" fontId="17" fillId="0" borderId="2" xfId="0" applyFont="1" applyBorder="1" applyAlignment="1">
      <alignment horizontal="center" vertical="center" wrapText="1" readingOrder="1"/>
    </xf>
    <xf numFmtId="0" fontId="17" fillId="0" borderId="4" xfId="0" applyFont="1" applyBorder="1" applyAlignment="1">
      <alignment horizontal="center" vertical="center" wrapText="1" readingOrder="1"/>
    </xf>
    <xf numFmtId="0" fontId="17" fillId="0" borderId="1" xfId="0" applyFont="1" applyBorder="1" applyAlignment="1">
      <alignment horizontal="center" vertical="center" wrapText="1" readingOrder="1"/>
    </xf>
    <xf numFmtId="0" fontId="17" fillId="0" borderId="8" xfId="0" applyFont="1" applyBorder="1" applyAlignment="1">
      <alignment horizontal="center" vertical="center" wrapText="1" readingOrder="1"/>
    </xf>
    <xf numFmtId="0" fontId="20" fillId="11" borderId="1" xfId="0" applyFont="1" applyFill="1" applyBorder="1" applyAlignment="1">
      <alignment horizontal="center" vertical="center" wrapText="1" readingOrder="1"/>
    </xf>
    <xf numFmtId="0" fontId="20" fillId="0" borderId="1" xfId="0" applyFont="1" applyBorder="1" applyAlignment="1">
      <alignment horizontal="center" vertical="center" wrapText="1" readingOrder="1"/>
    </xf>
    <xf numFmtId="0" fontId="15" fillId="0" borderId="1" xfId="0" applyFont="1" applyBorder="1" applyAlignment="1">
      <alignment horizontal="center" vertical="center" wrapText="1"/>
    </xf>
    <xf numFmtId="0" fontId="15" fillId="0" borderId="1" xfId="0" applyFont="1" applyBorder="1" applyAlignment="1">
      <alignment horizontal="center" vertical="center"/>
    </xf>
    <xf numFmtId="0" fontId="22" fillId="3" borderId="1" xfId="0" applyFont="1" applyFill="1" applyBorder="1" applyAlignment="1">
      <alignment horizontal="center" vertical="center" wrapText="1" readingOrder="1"/>
    </xf>
    <xf numFmtId="0" fontId="15" fillId="12" borderId="1" xfId="0" applyFont="1" applyFill="1" applyBorder="1" applyAlignment="1">
      <alignment horizontal="center" vertical="center" wrapText="1"/>
    </xf>
    <xf numFmtId="0" fontId="20" fillId="22" borderId="1" xfId="0" applyFont="1" applyFill="1" applyBorder="1" applyAlignment="1">
      <alignment horizontal="center" vertical="center" wrapText="1" readingOrder="1"/>
    </xf>
    <xf numFmtId="0" fontId="33" fillId="0" borderId="1" xfId="0" applyFont="1" applyBorder="1" applyAlignment="1">
      <alignment horizontal="center" vertical="center" wrapText="1" readingOrder="1"/>
    </xf>
    <xf numFmtId="0" fontId="18" fillId="0" borderId="1" xfId="0" applyFont="1" applyBorder="1" applyAlignment="1">
      <alignment horizontal="left" vertical="center" wrapText="1"/>
    </xf>
    <xf numFmtId="0" fontId="0" fillId="23" borderId="1" xfId="0" applyFill="1" applyBorder="1" applyAlignment="1">
      <alignment horizontal="center" vertical="center"/>
    </xf>
    <xf numFmtId="0" fontId="31" fillId="24" borderId="1" xfId="0" applyFont="1" applyFill="1" applyBorder="1" applyAlignment="1">
      <alignment horizontal="left" vertical="center" wrapText="1" readingOrder="1"/>
    </xf>
    <xf numFmtId="0" fontId="31" fillId="24" borderId="2" xfId="0" applyFont="1" applyFill="1" applyBorder="1" applyAlignment="1">
      <alignment horizontal="left" vertical="center" wrapText="1" readingOrder="1"/>
    </xf>
    <xf numFmtId="0" fontId="17" fillId="24" borderId="3" xfId="0" applyFont="1" applyFill="1" applyBorder="1" applyAlignment="1">
      <alignment horizontal="left" vertical="center" wrapText="1" readingOrder="1"/>
    </xf>
    <xf numFmtId="0" fontId="15" fillId="0" borderId="2" xfId="0" applyFont="1" applyBorder="1" applyAlignment="1">
      <alignment horizontal="center"/>
    </xf>
    <xf numFmtId="0" fontId="20" fillId="22" borderId="2" xfId="0" applyFont="1" applyFill="1" applyBorder="1" applyAlignment="1">
      <alignment horizontal="center" vertical="center" wrapText="1" readingOrder="1"/>
    </xf>
    <xf numFmtId="0" fontId="20" fillId="11" borderId="2" xfId="0" applyFont="1" applyFill="1" applyBorder="1" applyAlignment="1">
      <alignment horizontal="center" vertical="center" wrapText="1" readingOrder="1"/>
    </xf>
    <xf numFmtId="0" fontId="20" fillId="0" borderId="2" xfId="0" applyFont="1" applyBorder="1" applyAlignment="1">
      <alignment horizontal="center" vertical="center" wrapText="1" readingOrder="1"/>
    </xf>
    <xf numFmtId="0" fontId="32" fillId="0" borderId="3" xfId="0" applyFont="1" applyBorder="1" applyAlignment="1">
      <alignment horizontal="center" vertical="center" wrapText="1" readingOrder="1"/>
    </xf>
    <xf numFmtId="0" fontId="32" fillId="0" borderId="4" xfId="0" applyFont="1" applyBorder="1" applyAlignment="1">
      <alignment horizontal="center" vertical="center" wrapText="1" readingOrder="1"/>
    </xf>
    <xf numFmtId="0" fontId="15" fillId="0" borderId="2" xfId="0" applyFont="1" applyBorder="1" applyAlignment="1">
      <alignment horizontal="center" vertical="center" wrapText="1"/>
    </xf>
    <xf numFmtId="0" fontId="22" fillId="3" borderId="2" xfId="0" applyFont="1" applyFill="1" applyBorder="1" applyAlignment="1">
      <alignment horizontal="center" vertical="center" wrapText="1" readingOrder="1"/>
    </xf>
    <xf numFmtId="0" fontId="15" fillId="0" borderId="2" xfId="0" applyFont="1" applyBorder="1" applyAlignment="1">
      <alignment horizontal="center" vertical="center"/>
    </xf>
    <xf numFmtId="0" fontId="15" fillId="12" borderId="2" xfId="0" applyFont="1" applyFill="1" applyBorder="1" applyAlignment="1">
      <alignment horizontal="center" vertical="center" wrapText="1"/>
    </xf>
    <xf numFmtId="0" fontId="16" fillId="0" borderId="2" xfId="0" applyFont="1" applyBorder="1" applyAlignment="1">
      <alignment horizontal="center" vertical="center"/>
    </xf>
    <xf numFmtId="0" fontId="16" fillId="0" borderId="1" xfId="0" applyFont="1" applyBorder="1" applyAlignment="1">
      <alignment horizontal="left" vertical="center" wrapText="1"/>
    </xf>
    <xf numFmtId="0" fontId="1" fillId="23" borderId="1" xfId="0" applyFont="1" applyFill="1" applyBorder="1" applyAlignment="1">
      <alignment horizontal="center" vertical="center"/>
    </xf>
    <xf numFmtId="0" fontId="0" fillId="0" borderId="1" xfId="0" applyBorder="1" applyAlignment="1">
      <alignment horizontal="left" vertical="center"/>
    </xf>
    <xf numFmtId="0" fontId="0" fillId="19" borderId="1" xfId="0" applyFill="1" applyBorder="1" applyAlignment="1">
      <alignment vertical="center" wrapText="1"/>
    </xf>
    <xf numFmtId="0" fontId="0" fillId="19" borderId="1" xfId="0"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9" fillId="6" borderId="1" xfId="0" applyFont="1" applyFill="1" applyBorder="1" applyAlignment="1">
      <alignment vertical="center" wrapText="1"/>
    </xf>
    <xf numFmtId="0" fontId="0" fillId="6" borderId="1" xfId="0" applyFill="1" applyBorder="1" applyAlignment="1">
      <alignment horizontal="center" vertical="center" wrapText="1"/>
    </xf>
    <xf numFmtId="0" fontId="0" fillId="6" borderId="1" xfId="0" applyFill="1" applyBorder="1" applyAlignment="1">
      <alignment vertical="center" wrapText="1"/>
    </xf>
    <xf numFmtId="0" fontId="5" fillId="5" borderId="1" xfId="0" applyFont="1" applyFill="1" applyBorder="1" applyAlignment="1">
      <alignment vertical="center" wrapText="1"/>
    </xf>
    <xf numFmtId="0" fontId="0" fillId="5" borderId="1" xfId="0" applyFill="1" applyBorder="1" applyAlignment="1">
      <alignment horizontal="center" vertical="center" wrapText="1"/>
    </xf>
    <xf numFmtId="0" fontId="0" fillId="5" borderId="1" xfId="0" applyFill="1" applyBorder="1" applyAlignment="1">
      <alignment vertical="center" wrapText="1"/>
    </xf>
    <xf numFmtId="0" fontId="9" fillId="5" borderId="1" xfId="0" applyFont="1" applyFill="1" applyBorder="1" applyAlignment="1">
      <alignment vertical="center" wrapText="1"/>
    </xf>
    <xf numFmtId="0" fontId="0" fillId="0" borderId="8" xfId="0" applyBorder="1" applyAlignment="1">
      <alignment vertical="center" wrapText="1"/>
    </xf>
    <xf numFmtId="0" fontId="0" fillId="0" borderId="10" xfId="0" applyBorder="1" applyAlignment="1">
      <alignment horizontal="center" vertical="center" wrapText="1"/>
    </xf>
    <xf numFmtId="0" fontId="0" fillId="0" borderId="4" xfId="0" applyBorder="1" applyAlignment="1">
      <alignment horizontal="center" vertical="center" wrapText="1"/>
    </xf>
    <xf numFmtId="0" fontId="2" fillId="0" borderId="4" xfId="0" applyFont="1" applyBorder="1" applyAlignment="1">
      <alignment horizontal="center" vertical="center" wrapText="1"/>
    </xf>
    <xf numFmtId="0" fontId="2" fillId="15" borderId="4" xfId="0" applyFont="1" applyFill="1" applyBorder="1" applyAlignment="1">
      <alignment horizontal="center" vertical="center" wrapText="1"/>
    </xf>
    <xf numFmtId="0" fontId="0" fillId="0" borderId="11" xfId="0" applyBorder="1" applyAlignment="1">
      <alignment horizontal="center" vertical="center" wrapText="1"/>
    </xf>
    <xf numFmtId="0" fontId="0" fillId="19" borderId="8" xfId="0" applyFill="1" applyBorder="1" applyAlignment="1">
      <alignment vertical="center" wrapText="1"/>
    </xf>
    <xf numFmtId="0" fontId="0" fillId="6" borderId="8" xfId="0" applyFill="1" applyBorder="1" applyAlignment="1">
      <alignment vertical="center" wrapText="1"/>
    </xf>
    <xf numFmtId="0" fontId="0" fillId="5" borderId="8" xfId="0" applyFill="1" applyBorder="1" applyAlignment="1">
      <alignment vertical="center" wrapText="1"/>
    </xf>
    <xf numFmtId="0" fontId="5" fillId="8" borderId="2" xfId="0" applyFont="1" applyFill="1" applyBorder="1" applyAlignment="1">
      <alignment vertical="center" wrapText="1"/>
    </xf>
    <xf numFmtId="0" fontId="0" fillId="8" borderId="2" xfId="0" applyFill="1" applyBorder="1" applyAlignment="1">
      <alignment horizontal="center" vertical="center" wrapText="1"/>
    </xf>
    <xf numFmtId="0" fontId="0" fillId="8" borderId="2" xfId="0" applyFill="1" applyBorder="1" applyAlignment="1">
      <alignment vertical="center" wrapText="1"/>
    </xf>
    <xf numFmtId="0" fontId="0" fillId="8" borderId="13" xfId="0" applyFill="1" applyBorder="1" applyAlignment="1">
      <alignment vertical="center" wrapText="1"/>
    </xf>
    <xf numFmtId="0" fontId="40" fillId="0" borderId="1" xfId="0" applyFont="1" applyBorder="1" applyAlignment="1">
      <alignment vertical="center" wrapText="1"/>
    </xf>
    <xf numFmtId="0" fontId="40" fillId="19" borderId="1" xfId="0" applyFont="1" applyFill="1" applyBorder="1" applyAlignment="1">
      <alignment vertical="center" wrapText="1"/>
    </xf>
    <xf numFmtId="0" fontId="0" fillId="0" borderId="0" xfId="0" applyAlignment="1">
      <alignment horizontal="center" wrapText="1"/>
    </xf>
    <xf numFmtId="0" fontId="2" fillId="0" borderId="0" xfId="0" applyFont="1" applyAlignment="1">
      <alignment horizontal="center" wrapText="1"/>
    </xf>
    <xf numFmtId="0" fontId="0" fillId="0" borderId="9" xfId="0" applyBorder="1" applyAlignment="1">
      <alignment horizontal="center" vertical="center" wrapText="1"/>
    </xf>
    <xf numFmtId="16"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6" fillId="0" borderId="1" xfId="0" applyFont="1" applyBorder="1" applyAlignment="1">
      <alignment horizontal="center" vertical="center" wrapText="1"/>
    </xf>
    <xf numFmtId="16" fontId="2" fillId="19" borderId="1" xfId="0" applyNumberFormat="1" applyFont="1" applyFill="1" applyBorder="1" applyAlignment="1">
      <alignment horizontal="center" vertical="center" wrapText="1"/>
    </xf>
    <xf numFmtId="0" fontId="2" fillId="19" borderId="1" xfId="0" applyFont="1" applyFill="1" applyBorder="1" applyAlignment="1">
      <alignment horizontal="center" vertical="center" wrapText="1"/>
    </xf>
    <xf numFmtId="0" fontId="0" fillId="19" borderId="9" xfId="0" applyFill="1" applyBorder="1" applyAlignment="1">
      <alignment horizontal="center" vertical="center" wrapText="1"/>
    </xf>
    <xf numFmtId="0" fontId="6" fillId="19" borderId="1" xfId="0" applyFont="1" applyFill="1" applyBorder="1" applyAlignment="1">
      <alignment horizontal="center" vertical="center" wrapText="1"/>
    </xf>
    <xf numFmtId="0" fontId="3" fillId="19" borderId="1" xfId="0" applyFont="1" applyFill="1" applyBorder="1" applyAlignment="1">
      <alignment horizontal="center" vertical="center" wrapText="1"/>
    </xf>
    <xf numFmtId="0" fontId="3" fillId="0" borderId="0" xfId="0" applyFont="1" applyAlignment="1">
      <alignment wrapText="1"/>
    </xf>
    <xf numFmtId="0" fontId="0" fillId="19" borderId="1" xfId="0" quotePrefix="1" applyFill="1" applyBorder="1" applyAlignment="1">
      <alignment horizontal="center" vertical="center" wrapText="1"/>
    </xf>
    <xf numFmtId="0" fontId="0" fillId="6" borderId="9" xfId="0" applyFill="1" applyBorder="1" applyAlignment="1">
      <alignment horizontal="center" vertical="center" wrapText="1"/>
    </xf>
    <xf numFmtId="16" fontId="9" fillId="6"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wrapText="1"/>
    </xf>
    <xf numFmtId="0" fontId="0" fillId="5" borderId="9" xfId="0" applyFill="1" applyBorder="1" applyAlignment="1">
      <alignment horizontal="center" vertical="center" wrapText="1"/>
    </xf>
    <xf numFmtId="0" fontId="5"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0" fillId="8" borderId="12" xfId="0" applyFill="1" applyBorder="1" applyAlignment="1">
      <alignment horizontal="center" vertical="center" wrapText="1"/>
    </xf>
    <xf numFmtId="16" fontId="9" fillId="8" borderId="2" xfId="0" applyNumberFormat="1" applyFont="1" applyFill="1" applyBorder="1" applyAlignment="1">
      <alignment horizontal="center" vertical="center" wrapText="1"/>
    </xf>
    <xf numFmtId="0" fontId="2" fillId="8" borderId="2" xfId="0" applyFont="1" applyFill="1" applyBorder="1" applyAlignment="1">
      <alignment horizontal="center" vertical="center" wrapText="1"/>
    </xf>
    <xf numFmtId="0" fontId="42" fillId="0" borderId="1" xfId="0" applyFont="1" applyBorder="1" applyAlignment="1">
      <alignment vertical="center" wrapText="1"/>
    </xf>
    <xf numFmtId="0" fontId="40" fillId="19" borderId="1" xfId="0" applyFont="1" applyFill="1" applyBorder="1" applyAlignment="1">
      <alignment horizontal="center" vertical="center" wrapText="1"/>
    </xf>
    <xf numFmtId="0" fontId="40" fillId="0" borderId="1" xfId="0" applyFont="1" applyBorder="1" applyAlignment="1">
      <alignment horizontal="left" vertical="center" wrapText="1"/>
    </xf>
    <xf numFmtId="0" fontId="40" fillId="13"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11" fillId="10" borderId="1" xfId="0" applyFont="1" applyFill="1" applyBorder="1" applyAlignment="1">
      <alignment horizontal="center" vertical="center"/>
    </xf>
    <xf numFmtId="0" fontId="10" fillId="0" borderId="1" xfId="0" applyFont="1" applyBorder="1" applyAlignment="1">
      <alignment horizontal="center" vertical="center" wrapText="1"/>
    </xf>
    <xf numFmtId="0" fontId="11" fillId="9" borderId="1" xfId="0" applyFont="1" applyFill="1" applyBorder="1" applyAlignment="1">
      <alignment horizontal="center" vertical="center" wrapText="1"/>
    </xf>
    <xf numFmtId="0" fontId="13" fillId="18" borderId="15" xfId="0" applyFont="1" applyFill="1" applyBorder="1" applyAlignment="1">
      <alignment horizontal="center" vertical="center"/>
    </xf>
    <xf numFmtId="0" fontId="13" fillId="17" borderId="15" xfId="0" applyFont="1" applyFill="1" applyBorder="1" applyAlignment="1">
      <alignment horizontal="center" vertical="center"/>
    </xf>
    <xf numFmtId="0" fontId="12" fillId="8" borderId="14" xfId="0" applyFont="1" applyFill="1" applyBorder="1" applyAlignment="1">
      <alignment horizontal="center" vertical="center"/>
    </xf>
    <xf numFmtId="0" fontId="10" fillId="2" borderId="14" xfId="0" applyFont="1" applyFill="1" applyBorder="1" applyAlignment="1">
      <alignment horizontal="center" vertical="center"/>
    </xf>
    <xf numFmtId="0" fontId="12" fillId="15" borderId="14" xfId="0" applyFont="1" applyFill="1" applyBorder="1" applyAlignment="1">
      <alignment horizontal="center" vertical="center"/>
    </xf>
    <xf numFmtId="0" fontId="12" fillId="8" borderId="14" xfId="0" applyFont="1" applyFill="1" applyBorder="1" applyAlignment="1">
      <alignment horizontal="center" vertical="center" wrapText="1"/>
    </xf>
    <xf numFmtId="0" fontId="41" fillId="0" borderId="1" xfId="0" applyFont="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left" vertical="center" wrapText="1"/>
    </xf>
    <xf numFmtId="0" fontId="11" fillId="0" borderId="1" xfId="0" applyFont="1" applyBorder="1" applyAlignment="1">
      <alignment vertical="center" wrapText="1"/>
    </xf>
    <xf numFmtId="49" fontId="0" fillId="0" borderId="1" xfId="0" applyNumberFormat="1" applyBorder="1" applyAlignment="1">
      <alignment horizontal="center" vertical="center" wrapText="1"/>
    </xf>
    <xf numFmtId="15" fontId="2" fillId="0" borderId="1" xfId="0" applyNumberFormat="1" applyFont="1" applyBorder="1" applyAlignment="1">
      <alignment horizontal="center" vertical="center" wrapText="1"/>
    </xf>
    <xf numFmtId="0" fontId="0" fillId="0" borderId="0" xfId="0" applyAlignment="1">
      <alignment horizontal="left" vertical="top" wrapText="1"/>
    </xf>
    <xf numFmtId="0" fontId="45" fillId="8" borderId="18" xfId="0" applyFont="1" applyFill="1" applyBorder="1" applyAlignment="1">
      <alignment horizontal="center" vertical="center" wrapText="1"/>
    </xf>
    <xf numFmtId="0" fontId="46" fillId="0" borderId="18" xfId="0" applyFont="1" applyBorder="1" applyAlignment="1">
      <alignment horizontal="center" vertical="center" wrapText="1"/>
    </xf>
    <xf numFmtId="0" fontId="46" fillId="5" borderId="18" xfId="0" applyFont="1" applyFill="1" applyBorder="1" applyAlignment="1">
      <alignment horizontal="center" vertical="center" wrapText="1"/>
    </xf>
    <xf numFmtId="0" fontId="46" fillId="0" borderId="17" xfId="0" applyFont="1" applyBorder="1" applyAlignment="1">
      <alignment horizontal="center" vertical="center" wrapText="1"/>
    </xf>
    <xf numFmtId="0" fontId="46" fillId="5" borderId="17" xfId="0" applyFont="1" applyFill="1" applyBorder="1" applyAlignment="1">
      <alignment horizontal="center" vertical="center" wrapText="1"/>
    </xf>
    <xf numFmtId="16" fontId="47" fillId="0" borderId="18" xfId="0" applyNumberFormat="1" applyFont="1" applyBorder="1" applyAlignment="1">
      <alignment horizontal="center" vertical="center" wrapText="1"/>
    </xf>
    <xf numFmtId="15" fontId="48" fillId="0" borderId="18" xfId="0" applyNumberFormat="1" applyFont="1" applyBorder="1" applyAlignment="1">
      <alignment horizontal="center" vertical="center" wrapText="1"/>
    </xf>
    <xf numFmtId="49" fontId="47" fillId="0" borderId="18" xfId="0" applyNumberFormat="1" applyFont="1" applyBorder="1" applyAlignment="1">
      <alignment horizontal="center" vertical="center" wrapText="1"/>
    </xf>
    <xf numFmtId="49" fontId="49" fillId="0" borderId="18" xfId="0" applyNumberFormat="1" applyFont="1" applyBorder="1" applyAlignment="1">
      <alignment horizontal="center" vertical="center" wrapText="1"/>
    </xf>
    <xf numFmtId="49" fontId="46" fillId="0" borderId="18" xfId="0" applyNumberFormat="1" applyFont="1" applyBorder="1" applyAlignment="1">
      <alignment horizontal="center" vertical="center" wrapText="1"/>
    </xf>
    <xf numFmtId="0" fontId="47" fillId="0" borderId="16" xfId="0" applyFont="1" applyBorder="1" applyAlignment="1">
      <alignment horizontal="left" vertical="top" wrapText="1"/>
    </xf>
    <xf numFmtId="0" fontId="49" fillId="0" borderId="16" xfId="0" applyFont="1" applyBorder="1" applyAlignment="1">
      <alignment horizontal="left" vertical="top" wrapText="1"/>
    </xf>
    <xf numFmtId="0" fontId="46" fillId="0" borderId="16" xfId="0" applyFont="1" applyBorder="1" applyAlignment="1">
      <alignment horizontal="left" vertical="top" wrapText="1"/>
    </xf>
    <xf numFmtId="0" fontId="49" fillId="0" borderId="18" xfId="0" applyFont="1" applyBorder="1" applyAlignment="1">
      <alignment horizontal="center" vertical="center" wrapText="1"/>
    </xf>
    <xf numFmtId="0" fontId="6" fillId="15" borderId="4" xfId="0" applyFont="1" applyFill="1" applyBorder="1" applyAlignment="1">
      <alignment horizontal="center" vertical="center" wrapText="1"/>
    </xf>
    <xf numFmtId="0" fontId="3" fillId="0" borderId="0" xfId="0" applyFont="1" applyAlignment="1">
      <alignment horizontal="left" vertical="top" wrapText="1"/>
    </xf>
    <xf numFmtId="0" fontId="0" fillId="0" borderId="0" xfId="0" applyAlignment="1">
      <alignment horizontal="left"/>
    </xf>
    <xf numFmtId="0" fontId="0" fillId="0" borderId="2" xfId="0" applyBorder="1" applyAlignment="1">
      <alignment vertical="center" wrapText="1"/>
    </xf>
    <xf numFmtId="0" fontId="44" fillId="0" borderId="2" xfId="0" applyFont="1" applyBorder="1" applyAlignment="1">
      <alignment vertical="center" wrapText="1"/>
    </xf>
    <xf numFmtId="0" fontId="6"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0" xfId="0" applyFont="1" applyAlignment="1">
      <alignment horizontal="center" vertical="center"/>
    </xf>
    <xf numFmtId="0" fontId="5" fillId="0" borderId="2" xfId="0" applyFont="1" applyBorder="1" applyAlignment="1">
      <alignment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40" fillId="0" borderId="2" xfId="0" applyFont="1" applyBorder="1" applyAlignment="1">
      <alignment vertical="center" wrapText="1"/>
    </xf>
    <xf numFmtId="0" fontId="0" fillId="0" borderId="3" xfId="0" applyBorder="1" applyAlignment="1">
      <alignment vertical="center" wrapText="1"/>
    </xf>
    <xf numFmtId="0" fontId="0" fillId="12" borderId="1" xfId="0" applyFill="1" applyBorder="1" applyAlignment="1">
      <alignment vertical="center" wrapText="1"/>
    </xf>
    <xf numFmtId="0" fontId="40" fillId="0" borderId="2" xfId="0" applyFont="1" applyBorder="1" applyAlignment="1">
      <alignment horizontal="left" vertical="top" wrapText="1"/>
    </xf>
    <xf numFmtId="0" fontId="0" fillId="0" borderId="4" xfId="0" applyBorder="1" applyAlignment="1">
      <alignment vertical="center" wrapText="1"/>
    </xf>
    <xf numFmtId="0" fontId="40" fillId="0" borderId="3" xfId="0" applyFont="1" applyBorder="1" applyAlignment="1">
      <alignment horizontal="left" vertical="top" wrapText="1"/>
    </xf>
    <xf numFmtId="0" fontId="52" fillId="8" borderId="2" xfId="0" applyFont="1" applyFill="1" applyBorder="1" applyAlignment="1">
      <alignment vertical="center" wrapText="1"/>
    </xf>
    <xf numFmtId="0" fontId="0" fillId="12" borderId="1" xfId="0" applyFill="1" applyBorder="1" applyAlignment="1">
      <alignment horizontal="center" vertical="center" wrapText="1"/>
    </xf>
    <xf numFmtId="0" fontId="0" fillId="8" borderId="9" xfId="0" applyFill="1" applyBorder="1" applyAlignment="1">
      <alignment horizontal="center" vertical="center" wrapText="1"/>
    </xf>
    <xf numFmtId="0" fontId="0" fillId="0" borderId="12" xfId="0" applyBorder="1" applyAlignment="1">
      <alignment horizontal="center" vertical="center" wrapText="1"/>
    </xf>
    <xf numFmtId="0" fontId="0" fillId="8" borderId="1" xfId="0" applyFill="1" applyBorder="1" applyAlignment="1">
      <alignment horizontal="center" vertical="center" wrapText="1"/>
    </xf>
    <xf numFmtId="0" fontId="0" fillId="0" borderId="2" xfId="0" applyBorder="1" applyAlignment="1">
      <alignment horizontal="center" vertical="center" wrapText="1"/>
    </xf>
    <xf numFmtId="16" fontId="9" fillId="8" borderId="1" xfId="0" applyNumberFormat="1" applyFont="1" applyFill="1" applyBorder="1" applyAlignment="1">
      <alignment horizontal="center" vertical="center" wrapText="1"/>
    </xf>
    <xf numFmtId="15" fontId="2" fillId="0" borderId="2" xfId="0" applyNumberFormat="1" applyFont="1" applyBorder="1" applyAlignment="1">
      <alignment horizontal="center" vertical="center" wrapText="1"/>
    </xf>
    <xf numFmtId="49" fontId="0" fillId="8" borderId="1" xfId="0" applyNumberFormat="1" applyFill="1" applyBorder="1" applyAlignment="1">
      <alignment horizontal="center" vertical="center" wrapText="1"/>
    </xf>
    <xf numFmtId="49" fontId="0" fillId="0" borderId="2" xfId="0" applyNumberFormat="1" applyBorder="1" applyAlignment="1">
      <alignment horizontal="center" vertical="center" wrapText="1"/>
    </xf>
    <xf numFmtId="0" fontId="0" fillId="0" borderId="2" xfId="0" applyBorder="1"/>
    <xf numFmtId="0" fontId="5" fillId="8" borderId="1" xfId="0" applyFont="1" applyFill="1" applyBorder="1" applyAlignment="1">
      <alignment vertical="center" wrapText="1"/>
    </xf>
    <xf numFmtId="0" fontId="0" fillId="0" borderId="3" xfId="0" applyBorder="1" applyAlignment="1">
      <alignment wrapText="1"/>
    </xf>
    <xf numFmtId="0" fontId="40" fillId="0" borderId="0" xfId="0" applyFont="1" applyAlignment="1">
      <alignment horizontal="left" vertical="top" wrapText="1"/>
    </xf>
    <xf numFmtId="0" fontId="43" fillId="0" borderId="2" xfId="0" applyFont="1" applyBorder="1" applyAlignment="1">
      <alignment vertical="center" wrapText="1"/>
    </xf>
    <xf numFmtId="0" fontId="5" fillId="0" borderId="1" xfId="0" applyFont="1" applyBorder="1" applyAlignment="1">
      <alignment vertical="center" wrapText="1"/>
    </xf>
    <xf numFmtId="0" fontId="5" fillId="0" borderId="0" xfId="0" applyFont="1" applyAlignment="1">
      <alignment vertical="center" wrapText="1"/>
    </xf>
    <xf numFmtId="0" fontId="2" fillId="8" borderId="1" xfId="0" applyFont="1" applyFill="1" applyBorder="1" applyAlignment="1">
      <alignment horizontal="center" vertical="center" wrapText="1"/>
    </xf>
    <xf numFmtId="0" fontId="2" fillId="8" borderId="0" xfId="0" applyFont="1" applyFill="1" applyAlignment="1">
      <alignment horizontal="center" vertical="center" wrapText="1"/>
    </xf>
    <xf numFmtId="0" fontId="0" fillId="0" borderId="2" xfId="0" applyBorder="1" applyAlignment="1">
      <alignment horizontal="center" vertical="center"/>
    </xf>
    <xf numFmtId="0" fontId="2" fillId="0" borderId="0" xfId="0" applyFont="1" applyAlignment="1">
      <alignment horizontal="center" vertical="center" wrapText="1"/>
    </xf>
    <xf numFmtId="0" fontId="3" fillId="0" borderId="2" xfId="0" applyFont="1" applyBorder="1" applyAlignment="1">
      <alignment horizontal="center" vertical="center" wrapText="1"/>
    </xf>
    <xf numFmtId="0" fontId="0" fillId="12" borderId="0" xfId="0" applyFill="1" applyAlignment="1">
      <alignment vertical="center" wrapText="1"/>
    </xf>
    <xf numFmtId="0" fontId="51" fillId="0" borderId="1" xfId="0" applyFont="1" applyBorder="1" applyAlignment="1">
      <alignment vertical="center" wrapText="1"/>
    </xf>
    <xf numFmtId="0" fontId="20" fillId="0" borderId="1" xfId="0" applyFont="1" applyBorder="1" applyAlignment="1">
      <alignment horizontal="center" vertical="center" wrapText="1" readingOrder="1"/>
    </xf>
    <xf numFmtId="0" fontId="20" fillId="0" borderId="2" xfId="0" applyFont="1" applyBorder="1" applyAlignment="1">
      <alignment horizontal="center" vertical="center" wrapText="1" readingOrder="1"/>
    </xf>
    <xf numFmtId="0" fontId="20" fillId="0" borderId="3" xfId="0" applyFont="1" applyBorder="1" applyAlignment="1">
      <alignment horizontal="center" vertical="center" wrapText="1" readingOrder="1"/>
    </xf>
    <xf numFmtId="0" fontId="20" fillId="0" borderId="4" xfId="0" applyFont="1" applyBorder="1" applyAlignment="1">
      <alignment horizontal="center" vertical="center" wrapText="1" readingOrder="1"/>
    </xf>
    <xf numFmtId="0" fontId="15" fillId="0" borderId="2" xfId="0" applyFont="1" applyBorder="1" applyAlignment="1">
      <alignment horizontal="center"/>
    </xf>
    <xf numFmtId="0" fontId="15" fillId="0" borderId="4" xfId="0" applyFont="1" applyBorder="1" applyAlignment="1">
      <alignment horizontal="center"/>
    </xf>
    <xf numFmtId="0" fontId="20" fillId="22" borderId="2" xfId="0" applyFont="1" applyFill="1" applyBorder="1" applyAlignment="1">
      <alignment horizontal="center" vertical="center" wrapText="1" readingOrder="1"/>
    </xf>
    <xf numFmtId="0" fontId="20" fillId="22" borderId="4" xfId="0" applyFont="1" applyFill="1" applyBorder="1" applyAlignment="1">
      <alignment horizontal="center" vertical="center" wrapText="1" readingOrder="1"/>
    </xf>
    <xf numFmtId="0" fontId="20" fillId="11" borderId="2" xfId="0" applyFont="1" applyFill="1" applyBorder="1" applyAlignment="1">
      <alignment horizontal="center" vertical="center" wrapText="1" readingOrder="1"/>
    </xf>
    <xf numFmtId="0" fontId="20" fillId="11" borderId="4" xfId="0" applyFont="1" applyFill="1" applyBorder="1" applyAlignment="1">
      <alignment horizontal="center" vertical="center" wrapText="1" readingOrder="1"/>
    </xf>
    <xf numFmtId="0" fontId="32" fillId="0" borderId="2" xfId="0" applyFont="1" applyBorder="1" applyAlignment="1">
      <alignment horizontal="center" vertical="center" wrapText="1" readingOrder="1"/>
    </xf>
    <xf numFmtId="0" fontId="32" fillId="0" borderId="3" xfId="0" applyFont="1" applyBorder="1" applyAlignment="1">
      <alignment horizontal="center" vertical="center" wrapText="1" readingOrder="1"/>
    </xf>
    <xf numFmtId="0" fontId="32" fillId="0" borderId="4" xfId="0" applyFont="1" applyBorder="1" applyAlignment="1">
      <alignment horizontal="center" vertical="center" wrapText="1" readingOrder="1"/>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22" fillId="3" borderId="2" xfId="0" applyFont="1" applyFill="1" applyBorder="1" applyAlignment="1">
      <alignment horizontal="center" vertical="center" wrapText="1" readingOrder="1"/>
    </xf>
    <xf numFmtId="0" fontId="22" fillId="3" borderId="4" xfId="0" applyFont="1" applyFill="1" applyBorder="1" applyAlignment="1">
      <alignment horizontal="center" vertical="center" wrapText="1" readingOrder="1"/>
    </xf>
    <xf numFmtId="0" fontId="15" fillId="0" borderId="2" xfId="0" applyFont="1" applyBorder="1" applyAlignment="1">
      <alignment horizontal="center" vertical="center"/>
    </xf>
    <xf numFmtId="0" fontId="15" fillId="0" borderId="4" xfId="0" applyFont="1" applyBorder="1" applyAlignment="1">
      <alignment horizontal="center" vertical="center"/>
    </xf>
    <xf numFmtId="0" fontId="15" fillId="12" borderId="2" xfId="0" applyFont="1" applyFill="1" applyBorder="1" applyAlignment="1">
      <alignment horizontal="center" vertical="center" wrapText="1"/>
    </xf>
    <xf numFmtId="0" fontId="15" fillId="12" borderId="4" xfId="0" applyFont="1" applyFill="1" applyBorder="1" applyAlignment="1">
      <alignment horizontal="center" vertical="center" wrapText="1"/>
    </xf>
    <xf numFmtId="0" fontId="20" fillId="22" borderId="1" xfId="0" applyFont="1" applyFill="1" applyBorder="1" applyAlignment="1">
      <alignment horizontal="center" vertical="center" wrapText="1" readingOrder="1"/>
    </xf>
    <xf numFmtId="0" fontId="20" fillId="11" borderId="1" xfId="0" applyFont="1" applyFill="1" applyBorder="1" applyAlignment="1">
      <alignment horizontal="center" vertical="center" wrapText="1" readingOrder="1"/>
    </xf>
    <xf numFmtId="0" fontId="15" fillId="0" borderId="3" xfId="0" applyFont="1" applyBorder="1" applyAlignment="1">
      <alignment horizontal="center"/>
    </xf>
    <xf numFmtId="0" fontId="19" fillId="7" borderId="2" xfId="0" applyFont="1" applyFill="1" applyBorder="1" applyAlignment="1">
      <alignment horizontal="center" vertical="center" wrapText="1" readingOrder="1"/>
    </xf>
    <xf numFmtId="0" fontId="19" fillId="7" borderId="3" xfId="0" applyFont="1" applyFill="1" applyBorder="1" applyAlignment="1">
      <alignment horizontal="center" vertical="center" wrapText="1" readingOrder="1"/>
    </xf>
    <xf numFmtId="0" fontId="19" fillId="7" borderId="4" xfId="0" applyFont="1" applyFill="1" applyBorder="1" applyAlignment="1">
      <alignment horizontal="center" vertical="center" wrapText="1" readingOrder="1"/>
    </xf>
    <xf numFmtId="0" fontId="19" fillId="0" borderId="2" xfId="0" applyFont="1" applyBorder="1" applyAlignment="1">
      <alignment horizontal="center" vertical="center" wrapText="1" readingOrder="1"/>
    </xf>
    <xf numFmtId="0" fontId="19" fillId="0" borderId="3" xfId="0" applyFont="1" applyBorder="1" applyAlignment="1">
      <alignment horizontal="center" vertical="center" wrapText="1" readingOrder="1"/>
    </xf>
    <xf numFmtId="0" fontId="19" fillId="0" borderId="4" xfId="0" applyFont="1" applyBorder="1" applyAlignment="1">
      <alignment horizontal="center" vertical="center" wrapText="1" readingOrder="1"/>
    </xf>
    <xf numFmtId="0" fontId="20" fillId="11" borderId="3" xfId="0" applyFont="1" applyFill="1" applyBorder="1" applyAlignment="1">
      <alignment horizontal="center" vertical="center" wrapText="1" readingOrder="1"/>
    </xf>
    <xf numFmtId="0" fontId="19" fillId="0" borderId="1" xfId="0" applyFont="1" applyBorder="1" applyAlignment="1">
      <alignment horizontal="center" vertical="center" wrapText="1" readingOrder="1"/>
    </xf>
    <xf numFmtId="43" fontId="20" fillId="0" borderId="2" xfId="1" applyFont="1" applyBorder="1" applyAlignment="1">
      <alignment horizontal="center" vertical="center" wrapText="1" readingOrder="1"/>
    </xf>
    <xf numFmtId="43" fontId="20" fillId="0" borderId="3" xfId="1" applyFont="1" applyBorder="1" applyAlignment="1">
      <alignment horizontal="center" vertical="center" wrapText="1" readingOrder="1"/>
    </xf>
    <xf numFmtId="43" fontId="20" fillId="0" borderId="4" xfId="1" applyFont="1" applyBorder="1" applyAlignment="1">
      <alignment horizontal="center" vertical="center" wrapText="1" readingOrder="1"/>
    </xf>
    <xf numFmtId="0" fontId="15" fillId="0" borderId="3" xfId="0" applyFont="1" applyBorder="1" applyAlignment="1">
      <alignment horizontal="center" vertical="center"/>
    </xf>
    <xf numFmtId="0" fontId="15" fillId="12" borderId="3" xfId="0" applyFont="1" applyFill="1" applyBorder="1" applyAlignment="1">
      <alignment horizontal="center" vertical="center" wrapText="1"/>
    </xf>
    <xf numFmtId="0" fontId="15"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3" fillId="0" borderId="1" xfId="0" applyFont="1" applyBorder="1" applyAlignment="1">
      <alignment horizontal="center" vertical="center" wrapText="1" readingOrder="1"/>
    </xf>
    <xf numFmtId="0" fontId="15" fillId="0" borderId="3" xfId="0" applyFont="1" applyBorder="1" applyAlignment="1">
      <alignment horizontal="center" vertical="center" wrapText="1"/>
    </xf>
    <xf numFmtId="0" fontId="22" fillId="3" borderId="3" xfId="0" applyFont="1" applyFill="1" applyBorder="1" applyAlignment="1">
      <alignment horizontal="center" vertical="center" wrapText="1" readingOrder="1"/>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33" fillId="0" borderId="2" xfId="0" applyFont="1" applyBorder="1" applyAlignment="1">
      <alignment horizontal="center" vertical="center" wrapText="1" readingOrder="1"/>
    </xf>
    <xf numFmtId="0" fontId="33" fillId="0" borderId="4" xfId="0" applyFont="1" applyBorder="1" applyAlignment="1">
      <alignment horizontal="center" vertical="center" wrapText="1" readingOrder="1"/>
    </xf>
    <xf numFmtId="0" fontId="34" fillId="0" borderId="2" xfId="0" applyFont="1" applyBorder="1" applyAlignment="1">
      <alignment horizontal="center" vertical="center" wrapText="1"/>
    </xf>
    <xf numFmtId="0" fontId="34" fillId="0" borderId="4" xfId="0" applyFont="1" applyBorder="1" applyAlignment="1">
      <alignment horizontal="center" vertical="center" wrapText="1"/>
    </xf>
    <xf numFmtId="0" fontId="20" fillId="22" borderId="3" xfId="0" applyFont="1" applyFill="1" applyBorder="1" applyAlignment="1">
      <alignment horizontal="center" vertical="center" wrapText="1" readingOrder="1"/>
    </xf>
    <xf numFmtId="0" fontId="34" fillId="0" borderId="3" xfId="0" applyFont="1" applyBorder="1" applyAlignment="1">
      <alignment horizontal="center" vertical="center" wrapText="1"/>
    </xf>
    <xf numFmtId="0" fontId="33" fillId="0" borderId="2" xfId="0" applyFont="1" applyBorder="1" applyAlignment="1">
      <alignment horizontal="center" vertical="center" wrapText="1"/>
    </xf>
    <xf numFmtId="0" fontId="33" fillId="0" borderId="3" xfId="0" applyFont="1" applyBorder="1" applyAlignment="1">
      <alignment horizontal="center" vertical="center" wrapText="1"/>
    </xf>
    <xf numFmtId="0" fontId="33" fillId="0" borderId="4" xfId="0" applyFont="1" applyBorder="1" applyAlignment="1">
      <alignment horizontal="center" vertical="center" wrapText="1"/>
    </xf>
    <xf numFmtId="0" fontId="18" fillId="0" borderId="2" xfId="0" applyFont="1" applyBorder="1" applyAlignment="1">
      <alignment horizontal="center" vertical="center" wrapText="1" readingOrder="1"/>
    </xf>
    <xf numFmtId="0" fontId="18" fillId="0" borderId="3" xfId="0" applyFont="1" applyBorder="1" applyAlignment="1">
      <alignment horizontal="center" vertical="center" wrapText="1" readingOrder="1"/>
    </xf>
    <xf numFmtId="0" fontId="21" fillId="11" borderId="2" xfId="0" applyFont="1" applyFill="1" applyBorder="1" applyAlignment="1">
      <alignment horizontal="center" vertical="center" wrapText="1" readingOrder="1"/>
    </xf>
    <xf numFmtId="0" fontId="21" fillId="11" borderId="3" xfId="0" applyFont="1" applyFill="1" applyBorder="1" applyAlignment="1">
      <alignment horizontal="center" vertical="center" wrapText="1" readingOrder="1"/>
    </xf>
    <xf numFmtId="0" fontId="21" fillId="0" borderId="2" xfId="0" applyFont="1" applyBorder="1" applyAlignment="1">
      <alignment horizontal="center" vertical="center" wrapText="1" readingOrder="1"/>
    </xf>
    <xf numFmtId="0" fontId="21" fillId="0" borderId="3" xfId="0" applyFont="1" applyBorder="1" applyAlignment="1">
      <alignment horizontal="center" vertical="center" wrapText="1" readingOrder="1"/>
    </xf>
    <xf numFmtId="0" fontId="18" fillId="7" borderId="2" xfId="0" applyFont="1" applyFill="1" applyBorder="1" applyAlignment="1">
      <alignment horizontal="center" vertical="center" wrapText="1" readingOrder="1"/>
    </xf>
    <xf numFmtId="0" fontId="18" fillId="7" borderId="3" xfId="0" applyFont="1" applyFill="1" applyBorder="1" applyAlignment="1">
      <alignment horizontal="center" vertical="center" wrapText="1" readingOrder="1"/>
    </xf>
    <xf numFmtId="0" fontId="18" fillId="7" borderId="4" xfId="0" applyFont="1" applyFill="1" applyBorder="1" applyAlignment="1">
      <alignment horizontal="center" vertical="center" wrapText="1" readingOrder="1"/>
    </xf>
    <xf numFmtId="0" fontId="21" fillId="11" borderId="4" xfId="0" applyFont="1" applyFill="1" applyBorder="1" applyAlignment="1">
      <alignment horizontal="center" vertical="center" wrapText="1" readingOrder="1"/>
    </xf>
    <xf numFmtId="0" fontId="21" fillId="0" borderId="4" xfId="0" applyFont="1" applyBorder="1" applyAlignment="1">
      <alignment horizontal="center" vertical="center" wrapText="1" readingOrder="1"/>
    </xf>
    <xf numFmtId="0" fontId="21" fillId="0" borderId="1" xfId="0" applyFont="1" applyBorder="1" applyAlignment="1">
      <alignment horizontal="center" vertical="center" wrapText="1" readingOrder="1"/>
    </xf>
    <xf numFmtId="0" fontId="18" fillId="7" borderId="1" xfId="0" applyFont="1" applyFill="1" applyBorder="1" applyAlignment="1">
      <alignment horizontal="center" vertical="center" wrapText="1" readingOrder="1"/>
    </xf>
    <xf numFmtId="0" fontId="21" fillId="11" borderId="1" xfId="0" applyFont="1" applyFill="1" applyBorder="1" applyAlignment="1">
      <alignment horizontal="center" vertical="center" wrapText="1" readingOrder="1"/>
    </xf>
    <xf numFmtId="0" fontId="19" fillId="7" borderId="1" xfId="0" applyFont="1" applyFill="1" applyBorder="1" applyAlignment="1">
      <alignment horizontal="center" vertical="center" wrapText="1" readingOrder="1"/>
    </xf>
    <xf numFmtId="0" fontId="18" fillId="0" borderId="4" xfId="0" applyFont="1" applyBorder="1" applyAlignment="1">
      <alignment horizontal="center" vertical="center" wrapText="1" readingOrder="1"/>
    </xf>
    <xf numFmtId="0" fontId="15" fillId="0" borderId="5" xfId="0" applyFont="1" applyBorder="1" applyAlignment="1">
      <alignment horizontal="center"/>
    </xf>
    <xf numFmtId="0" fontId="38" fillId="0" borderId="2" xfId="0" applyFont="1" applyBorder="1" applyAlignment="1">
      <alignment horizontal="center" vertical="center" wrapText="1" readingOrder="1"/>
    </xf>
    <xf numFmtId="0" fontId="38" fillId="0" borderId="3" xfId="0" applyFont="1" applyBorder="1" applyAlignment="1">
      <alignment horizontal="center" vertical="center" wrapText="1" readingOrder="1"/>
    </xf>
    <xf numFmtId="0" fontId="38" fillId="0" borderId="4" xfId="0" applyFont="1" applyBorder="1" applyAlignment="1">
      <alignment horizontal="center" vertical="center" wrapText="1" readingOrder="1"/>
    </xf>
    <xf numFmtId="0" fontId="30" fillId="0" borderId="1" xfId="0" applyFont="1" applyBorder="1" applyAlignment="1">
      <alignment horizontal="center" vertical="center" wrapText="1"/>
    </xf>
    <xf numFmtId="0" fontId="30" fillId="0" borderId="2" xfId="0" applyFont="1" applyBorder="1" applyAlignment="1">
      <alignment horizontal="center" vertical="center" wrapText="1"/>
    </xf>
    <xf numFmtId="0" fontId="28" fillId="0" borderId="1" xfId="0" applyFont="1" applyBorder="1" applyAlignment="1">
      <alignment horizontal="center" vertical="center"/>
    </xf>
    <xf numFmtId="0" fontId="28" fillId="0" borderId="2" xfId="0" applyFont="1" applyBorder="1" applyAlignment="1">
      <alignment horizontal="center" vertical="center"/>
    </xf>
    <xf numFmtId="0" fontId="28" fillId="0" borderId="1" xfId="0" applyFont="1" applyBorder="1" applyAlignment="1">
      <alignment horizontal="center" vertical="center" wrapText="1"/>
    </xf>
    <xf numFmtId="0" fontId="28" fillId="0" borderId="2" xfId="0" applyFont="1" applyBorder="1" applyAlignment="1">
      <alignment horizontal="center" vertical="center" wrapText="1"/>
    </xf>
    <xf numFmtId="0" fontId="29" fillId="2" borderId="1" xfId="0" applyFont="1" applyFill="1" applyBorder="1" applyAlignment="1">
      <alignment horizontal="center" vertical="center" wrapText="1" readingOrder="1"/>
    </xf>
    <xf numFmtId="0" fontId="29" fillId="2" borderId="2" xfId="0" applyFont="1" applyFill="1" applyBorder="1" applyAlignment="1">
      <alignment horizontal="center" vertical="center" wrapText="1" readingOrder="1"/>
    </xf>
    <xf numFmtId="0" fontId="32" fillId="0" borderId="1" xfId="0" applyFont="1" applyBorder="1" applyAlignment="1">
      <alignment horizontal="center" vertical="center" wrapText="1" readingOrder="1"/>
    </xf>
    <xf numFmtId="0" fontId="27" fillId="0" borderId="2" xfId="0" applyFont="1" applyBorder="1" applyAlignment="1">
      <alignment horizontal="center" vertical="center" wrapText="1" readingOrder="1"/>
    </xf>
    <xf numFmtId="0" fontId="27" fillId="0" borderId="3" xfId="0" applyFont="1" applyBorder="1" applyAlignment="1">
      <alignment horizontal="center" vertical="center" wrapText="1" readingOrder="1"/>
    </xf>
    <xf numFmtId="0" fontId="26" fillId="7" borderId="3" xfId="0" applyFont="1" applyFill="1" applyBorder="1" applyAlignment="1">
      <alignment horizontal="center" vertical="center" wrapText="1" readingOrder="1"/>
    </xf>
    <xf numFmtId="0" fontId="26" fillId="7" borderId="4" xfId="0" applyFont="1" applyFill="1" applyBorder="1" applyAlignment="1">
      <alignment horizontal="center" vertical="center" wrapText="1" readingOrder="1"/>
    </xf>
    <xf numFmtId="0" fontId="27" fillId="22" borderId="3" xfId="0" applyFont="1" applyFill="1" applyBorder="1" applyAlignment="1">
      <alignment horizontal="center" vertical="center" wrapText="1" readingOrder="1"/>
    </xf>
    <xf numFmtId="0" fontId="27" fillId="22" borderId="4" xfId="0" applyFont="1" applyFill="1" applyBorder="1" applyAlignment="1">
      <alignment horizontal="center" vertical="center" wrapText="1" readingOrder="1"/>
    </xf>
    <xf numFmtId="0" fontId="17" fillId="11" borderId="3" xfId="0" applyFont="1" applyFill="1" applyBorder="1" applyAlignment="1">
      <alignment horizontal="center" vertical="center" wrapText="1" readingOrder="1"/>
    </xf>
    <xf numFmtId="0" fontId="17" fillId="11" borderId="4" xfId="0" applyFont="1" applyFill="1" applyBorder="1" applyAlignment="1">
      <alignment horizontal="center" vertical="center" wrapText="1" readingOrder="1"/>
    </xf>
    <xf numFmtId="0" fontId="27" fillId="0" borderId="4" xfId="0" applyFont="1" applyBorder="1" applyAlignment="1">
      <alignment horizontal="center" vertical="center" wrapText="1" readingOrder="1"/>
    </xf>
    <xf numFmtId="0" fontId="39" fillId="0" borderId="3" xfId="0" applyFont="1" applyBorder="1" applyAlignment="1">
      <alignment horizontal="center" vertical="center" wrapText="1"/>
    </xf>
    <xf numFmtId="0" fontId="39" fillId="0" borderId="4" xfId="0" applyFont="1" applyBorder="1" applyAlignment="1">
      <alignment horizontal="center" vertical="center" wrapText="1"/>
    </xf>
    <xf numFmtId="0" fontId="17" fillId="0" borderId="3" xfId="0" applyFont="1" applyBorder="1" applyAlignment="1">
      <alignment horizontal="center" vertical="center" wrapText="1" readingOrder="1"/>
    </xf>
    <xf numFmtId="0" fontId="17" fillId="0" borderId="4" xfId="0" applyFont="1" applyBorder="1" applyAlignment="1">
      <alignment horizontal="center" vertical="center" wrapText="1" readingOrder="1"/>
    </xf>
    <xf numFmtId="0" fontId="15" fillId="0" borderId="1" xfId="0" applyFont="1" applyBorder="1" applyAlignment="1">
      <alignment horizontal="left" vertical="center" wrapText="1"/>
    </xf>
    <xf numFmtId="0" fontId="15" fillId="0" borderId="2" xfId="0" applyFont="1" applyBorder="1" applyAlignment="1">
      <alignment horizontal="left" vertical="center" wrapText="1"/>
    </xf>
    <xf numFmtId="0" fontId="22" fillId="2" borderId="2" xfId="0" applyFont="1" applyFill="1" applyBorder="1" applyAlignment="1">
      <alignment horizontal="center" vertical="center" wrapText="1" readingOrder="1"/>
    </xf>
    <xf numFmtId="0" fontId="22" fillId="2" borderId="3" xfId="0" applyFont="1" applyFill="1" applyBorder="1" applyAlignment="1">
      <alignment horizontal="center" vertical="center" wrapText="1" readingOrder="1"/>
    </xf>
    <xf numFmtId="0" fontId="22" fillId="2" borderId="4" xfId="0" applyFont="1" applyFill="1" applyBorder="1" applyAlignment="1">
      <alignment horizontal="center" vertical="center" wrapText="1" readingOrder="1"/>
    </xf>
    <xf numFmtId="0" fontId="32" fillId="0" borderId="1" xfId="0" applyFont="1" applyBorder="1" applyAlignment="1">
      <alignment horizontal="left" vertical="center" wrapText="1" readingOrder="1"/>
    </xf>
    <xf numFmtId="0" fontId="22" fillId="3" borderId="1" xfId="0" applyFont="1" applyFill="1" applyBorder="1" applyAlignment="1">
      <alignment horizontal="center" vertical="center" wrapText="1" readingOrder="1"/>
    </xf>
    <xf numFmtId="0" fontId="15" fillId="0" borderId="1" xfId="0" applyFont="1" applyBorder="1" applyAlignment="1">
      <alignment horizontal="center" vertical="center"/>
    </xf>
    <xf numFmtId="0" fontId="31" fillId="0" borderId="1" xfId="0" applyFont="1" applyBorder="1" applyAlignment="1">
      <alignment horizontal="center" vertical="center" wrapText="1" readingOrder="1"/>
    </xf>
    <xf numFmtId="0" fontId="31" fillId="0" borderId="2" xfId="0" applyFont="1" applyBorder="1" applyAlignment="1">
      <alignment horizontal="center" vertical="center" wrapText="1" readingOrder="1"/>
    </xf>
    <xf numFmtId="0" fontId="32" fillId="0" borderId="1" xfId="0" applyFont="1" applyBorder="1" applyAlignment="1">
      <alignment horizontal="left" vertical="top" wrapText="1" readingOrder="1"/>
    </xf>
    <xf numFmtId="0" fontId="35" fillId="0" borderId="1" xfId="2" applyFill="1" applyBorder="1" applyAlignment="1">
      <alignment horizontal="center" vertical="center"/>
    </xf>
    <xf numFmtId="43" fontId="15" fillId="0" borderId="1" xfId="1" applyFont="1" applyBorder="1" applyAlignment="1">
      <alignment horizontal="center" vertical="center" wrapText="1"/>
    </xf>
    <xf numFmtId="43" fontId="15" fillId="0" borderId="2" xfId="1" applyFont="1" applyBorder="1" applyAlignment="1">
      <alignment horizontal="center" vertical="center" wrapText="1"/>
    </xf>
    <xf numFmtId="0" fontId="23" fillId="0" borderId="1" xfId="0" applyFont="1" applyBorder="1" applyAlignment="1">
      <alignment horizontal="center" vertical="center" wrapText="1"/>
    </xf>
    <xf numFmtId="0" fontId="23" fillId="0" borderId="2" xfId="0" applyFont="1" applyBorder="1" applyAlignment="1">
      <alignment horizontal="center" vertical="center" wrapText="1"/>
    </xf>
    <xf numFmtId="0" fontId="22" fillId="2" borderId="1" xfId="0" applyFont="1" applyFill="1" applyBorder="1" applyAlignment="1">
      <alignment horizontal="center" vertical="center" wrapText="1" readingOrder="1"/>
    </xf>
    <xf numFmtId="0" fontId="23" fillId="0" borderId="3" xfId="0" applyFont="1" applyBorder="1" applyAlignment="1">
      <alignment horizontal="center" vertical="center" wrapText="1"/>
    </xf>
    <xf numFmtId="0" fontId="23" fillId="0" borderId="4" xfId="0" applyFont="1" applyBorder="1" applyAlignment="1">
      <alignment horizontal="center" vertical="center" wrapText="1"/>
    </xf>
    <xf numFmtId="0" fontId="32" fillId="0" borderId="1" xfId="0" applyFont="1" applyBorder="1" applyAlignment="1">
      <alignment horizontal="center" vertical="center" wrapText="1"/>
    </xf>
    <xf numFmtId="0" fontId="32" fillId="0" borderId="1" xfId="0" applyFont="1" applyBorder="1" applyAlignment="1">
      <alignment horizontal="center" vertical="center"/>
    </xf>
    <xf numFmtId="0" fontId="32" fillId="0" borderId="2" xfId="0" applyFont="1" applyBorder="1" applyAlignment="1">
      <alignment horizontal="center" vertical="center"/>
    </xf>
    <xf numFmtId="0" fontId="35" fillId="0" borderId="0" xfId="2" applyFill="1" applyAlignment="1">
      <alignment horizontal="center" vertical="center"/>
    </xf>
    <xf numFmtId="0" fontId="0" fillId="0" borderId="0" xfId="0" applyAlignment="1">
      <alignment horizontal="center" vertical="center"/>
    </xf>
    <xf numFmtId="0" fontId="20" fillId="0" borderId="1" xfId="0" applyFont="1" applyBorder="1" applyAlignment="1">
      <alignment horizontal="left" vertical="center" wrapText="1" readingOrder="1"/>
    </xf>
    <xf numFmtId="0" fontId="20" fillId="0" borderId="2" xfId="0" applyFont="1" applyBorder="1" applyAlignment="1">
      <alignment horizontal="left" vertical="center" wrapText="1" readingOrder="1"/>
    </xf>
    <xf numFmtId="0" fontId="25" fillId="4" borderId="2" xfId="0" applyFont="1" applyFill="1" applyBorder="1" applyAlignment="1">
      <alignment horizontal="center" vertical="center" wrapText="1" readingOrder="1"/>
    </xf>
    <xf numFmtId="0" fontId="25" fillId="4" borderId="3" xfId="0" applyFont="1" applyFill="1" applyBorder="1" applyAlignment="1">
      <alignment horizontal="center" vertical="center" wrapText="1" readingOrder="1"/>
    </xf>
    <xf numFmtId="0" fontId="25" fillId="3" borderId="2" xfId="0" applyFont="1" applyFill="1" applyBorder="1" applyAlignment="1">
      <alignment horizontal="center" vertical="center" wrapText="1" readingOrder="1"/>
    </xf>
    <xf numFmtId="0" fontId="25" fillId="3" borderId="3" xfId="0" applyFont="1" applyFill="1" applyBorder="1" applyAlignment="1">
      <alignment horizontal="center" vertical="center" wrapText="1" readingOrder="1"/>
    </xf>
    <xf numFmtId="0" fontId="22" fillId="4" borderId="2" xfId="0" applyFont="1" applyFill="1" applyBorder="1" applyAlignment="1">
      <alignment horizontal="center" vertical="center" wrapText="1" readingOrder="1"/>
    </xf>
    <xf numFmtId="0" fontId="22" fillId="4" borderId="3" xfId="0" applyFont="1" applyFill="1" applyBorder="1" applyAlignment="1">
      <alignment horizontal="center" vertical="center" wrapText="1" readingOrder="1"/>
    </xf>
    <xf numFmtId="0" fontId="16" fillId="0" borderId="2" xfId="0" applyFont="1" applyBorder="1" applyAlignment="1">
      <alignment vertical="center" wrapText="1"/>
    </xf>
    <xf numFmtId="0" fontId="16" fillId="0" borderId="4" xfId="0" applyFont="1" applyBorder="1" applyAlignment="1">
      <alignment vertical="center" wrapText="1"/>
    </xf>
    <xf numFmtId="0" fontId="25" fillId="4" borderId="4" xfId="0" applyFont="1" applyFill="1" applyBorder="1" applyAlignment="1">
      <alignment horizontal="center" vertical="center" wrapText="1" readingOrder="1"/>
    </xf>
    <xf numFmtId="0" fontId="31" fillId="0" borderId="1" xfId="0" applyFont="1" applyBorder="1" applyAlignment="1">
      <alignment horizontal="left" vertical="center" wrapText="1" readingOrder="1"/>
    </xf>
    <xf numFmtId="0" fontId="25" fillId="2" borderId="2" xfId="0" applyFont="1" applyFill="1" applyBorder="1" applyAlignment="1">
      <alignment horizontal="center" vertical="center" wrapText="1" readingOrder="1"/>
    </xf>
    <xf numFmtId="0" fontId="25" fillId="2" borderId="3" xfId="0" applyFont="1" applyFill="1" applyBorder="1" applyAlignment="1">
      <alignment horizontal="center" vertical="center" wrapText="1" readingOrder="1"/>
    </xf>
    <xf numFmtId="0" fontId="25" fillId="2" borderId="4" xfId="0" applyFont="1" applyFill="1" applyBorder="1" applyAlignment="1">
      <alignment horizontal="center" vertical="center" wrapText="1" readingOrder="1"/>
    </xf>
    <xf numFmtId="0" fontId="18" fillId="0" borderId="1" xfId="0" applyFont="1" applyBorder="1" applyAlignment="1">
      <alignment horizontal="center" vertical="center" wrapText="1" readingOrder="1"/>
    </xf>
    <xf numFmtId="0" fontId="25" fillId="3" borderId="4" xfId="0" applyFont="1" applyFill="1" applyBorder="1" applyAlignment="1">
      <alignment horizontal="center" vertical="center" wrapText="1" readingOrder="1"/>
    </xf>
    <xf numFmtId="0" fontId="5" fillId="6" borderId="1" xfId="0" applyFont="1" applyFill="1" applyBorder="1" applyAlignment="1">
      <alignment horizontal="center" vertical="center" wrapText="1"/>
    </xf>
    <xf numFmtId="0" fontId="12" fillId="16" borderId="6" xfId="0" applyFont="1" applyFill="1" applyBorder="1" applyAlignment="1">
      <alignment horizontal="center" vertical="center"/>
    </xf>
    <xf numFmtId="0" fontId="12" fillId="14" borderId="6" xfId="0" applyFont="1" applyFill="1" applyBorder="1" applyAlignment="1">
      <alignment horizontal="center" vertical="center"/>
    </xf>
    <xf numFmtId="0" fontId="9" fillId="14" borderId="0" xfId="0" applyFont="1" applyFill="1" applyAlignment="1">
      <alignment horizontal="center" wrapText="1"/>
    </xf>
    <xf numFmtId="0" fontId="0" fillId="0" borderId="0" xfId="0" applyAlignment="1">
      <alignment horizontal="center" vertical="top" wrapText="1"/>
    </xf>
    <xf numFmtId="0" fontId="0" fillId="0" borderId="0" xfId="0" applyAlignment="1">
      <alignment horizontal="center" wrapText="1"/>
    </xf>
    <xf numFmtId="0" fontId="2" fillId="0" borderId="0" xfId="0" applyFont="1" applyAlignment="1">
      <alignment horizontal="center" vertical="top" wrapText="1"/>
    </xf>
    <xf numFmtId="0" fontId="2" fillId="0" borderId="0" xfId="0" applyFont="1" applyAlignment="1">
      <alignment horizontal="center"/>
    </xf>
    <xf numFmtId="0" fontId="2" fillId="0" borderId="0" xfId="0" applyFont="1" applyAlignment="1">
      <alignment horizontal="center" wrapText="1"/>
    </xf>
    <xf numFmtId="0" fontId="0" fillId="0" borderId="1" xfId="0" applyBorder="1" applyAlignment="1">
      <alignment horizontal="center" vertical="center"/>
    </xf>
    <xf numFmtId="0" fontId="0" fillId="2" borderId="1" xfId="0" applyFill="1" applyBorder="1" applyAlignment="1">
      <alignment horizontal="center" vertical="center"/>
    </xf>
    <xf numFmtId="16" fontId="0" fillId="0" borderId="1" xfId="0" applyNumberFormat="1" applyBorder="1" applyAlignment="1">
      <alignment horizontal="center" vertical="center"/>
    </xf>
    <xf numFmtId="16" fontId="0" fillId="0" borderId="1" xfId="0" applyNumberFormat="1" applyBorder="1" applyAlignment="1">
      <alignment horizontal="center" vertical="center" wrapText="1"/>
    </xf>
    <xf numFmtId="0" fontId="0" fillId="0" borderId="0" xfId="0" applyAlignment="1">
      <alignment horizontal="left" vertical="top" wrapText="1"/>
    </xf>
    <xf numFmtId="0" fontId="0" fillId="0" borderId="0" xfId="0" applyAlignment="1">
      <alignment horizontal="left" vertical="top"/>
    </xf>
    <xf numFmtId="0" fontId="1" fillId="0" borderId="0" xfId="0" applyFont="1" applyAlignment="1">
      <alignment horizontal="center" vertical="center"/>
    </xf>
    <xf numFmtId="0" fontId="1" fillId="3" borderId="1" xfId="0" applyFont="1" applyFill="1" applyBorder="1" applyAlignment="1">
      <alignment horizontal="center" vertical="center"/>
    </xf>
    <xf numFmtId="0" fontId="0" fillId="4" borderId="1" xfId="0" applyFill="1" applyBorder="1" applyAlignment="1">
      <alignment horizontal="center" vertical="center"/>
    </xf>
  </cellXfs>
  <cellStyles count="5">
    <cellStyle name="Comma 2" xfId="1" xr:uid="{E46A2448-B07F-45A6-9D1A-58A6CF186DD4}"/>
    <cellStyle name="Comma 2 2" xfId="3" xr:uid="{B986FFD0-2A70-42A8-8B66-494105A3370C}"/>
    <cellStyle name="Comma 2 2 2" xfId="4" xr:uid="{CAF61269-6A39-4A0E-93CB-43B0A23224B8}"/>
    <cellStyle name="Hyperlink" xfId="2" builtinId="8"/>
    <cellStyle name="Normal" xfId="0" builtinId="0"/>
  </cellStyles>
  <dxfs count="68">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3" tint="0.39994506668294322"/>
        </patternFill>
      </fill>
    </dxf>
    <dxf>
      <fill>
        <patternFill>
          <bgColor theme="5" tint="0.59996337778862885"/>
        </patternFill>
      </fill>
    </dxf>
    <dxf>
      <fill>
        <patternFill>
          <bgColor theme="3" tint="0.39994506668294322"/>
        </patternFill>
      </fill>
    </dxf>
    <dxf>
      <fill>
        <patternFill>
          <bgColor theme="3" tint="0.39994506668294322"/>
        </patternFill>
      </fill>
    </dxf>
    <dxf>
      <fill>
        <patternFill>
          <bgColor theme="5" tint="0.59996337778862885"/>
        </patternFill>
      </fill>
    </dxf>
    <dxf>
      <fill>
        <patternFill>
          <bgColor theme="3" tint="0.79998168889431442"/>
        </patternFill>
      </fill>
    </dxf>
    <dxf>
      <fill>
        <patternFill>
          <bgColor rgb="FFFFC000"/>
        </patternFill>
      </fill>
    </dxf>
    <dxf>
      <font>
        <color theme="0"/>
      </font>
      <fill>
        <patternFill>
          <bgColor rgb="FFC00000"/>
        </patternFill>
      </fill>
    </dxf>
    <dxf>
      <fill>
        <patternFill>
          <bgColor rgb="FF00B050"/>
        </patternFill>
      </fill>
    </dxf>
    <dxf>
      <font>
        <color theme="1"/>
      </font>
      <fill>
        <patternFill>
          <bgColor theme="5" tint="0.79998168889431442"/>
        </patternFill>
      </fill>
    </dxf>
    <dxf>
      <font>
        <color theme="1"/>
      </font>
      <fill>
        <patternFill>
          <bgColor theme="5" tint="0.39994506668294322"/>
        </patternFill>
      </fill>
    </dxf>
    <dxf>
      <fill>
        <patternFill>
          <bgColor theme="5" tint="-0.24994659260841701"/>
        </patternFill>
      </fill>
    </dxf>
    <dxf>
      <font>
        <color theme="1"/>
      </font>
      <fill>
        <patternFill>
          <bgColor theme="5" tint="0.79998168889431442"/>
        </patternFill>
      </fill>
    </dxf>
    <dxf>
      <font>
        <color theme="1"/>
      </font>
      <fill>
        <patternFill>
          <bgColor theme="5" tint="0.39994506668294322"/>
        </patternFill>
      </fill>
    </dxf>
    <dxf>
      <fill>
        <patternFill>
          <bgColor theme="5"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0"/>
        <name val="Helvetica"/>
        <family val="2"/>
        <scheme val="none"/>
      </font>
      <fill>
        <patternFill patternType="solid">
          <fgColor indexed="64"/>
          <bgColor theme="4"/>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strike val="0"/>
        <outline val="0"/>
        <shadow val="0"/>
        <u val="none"/>
        <vertAlign val="baseline"/>
        <sz val="12"/>
        <color auto="1"/>
        <name val="Helvetica"/>
        <family val="2"/>
        <scheme val="none"/>
      </font>
    </dxf>
    <dxf>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8000"/>
      <color rgb="FF0070C0"/>
      <color rgb="FF135E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11</xdr:col>
      <xdr:colOff>358937</xdr:colOff>
      <xdr:row>13</xdr:row>
      <xdr:rowOff>86067</xdr:rowOff>
    </xdr:to>
    <xdr:pic>
      <xdr:nvPicPr>
        <xdr:cNvPr id="2" name="Picture 1">
          <a:extLst>
            <a:ext uri="{FF2B5EF4-FFF2-40B4-BE49-F238E27FC236}">
              <a16:creationId xmlns:a16="http://schemas.microsoft.com/office/drawing/2014/main" id="{DA675488-4C8A-B64A-7340-4BFEBE85378F}"/>
            </a:ext>
          </a:extLst>
        </xdr:cNvPr>
        <xdr:cNvPicPr>
          <a:picLocks noChangeAspect="1"/>
        </xdr:cNvPicPr>
      </xdr:nvPicPr>
      <xdr:blipFill>
        <a:blip xmlns:r="http://schemas.openxmlformats.org/officeDocument/2006/relationships" r:embed="rId1"/>
        <a:stretch>
          <a:fillRect/>
        </a:stretch>
      </xdr:blipFill>
      <xdr:spPr>
        <a:xfrm>
          <a:off x="0" y="196850"/>
          <a:ext cx="17366499" cy="2448267"/>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8165D0A-FD70-41A0-AF58-0A11D061AF98}">
    <nsvFilter filterId="{AFFD9FE4-41A3-4666-A42C-6FCD1943A5B7}" ref="A2:T60" tableId="1"/>
  </namedSheetView>
  <namedSheetView name="View2" id="{65DE26E1-FFCA-4E2F-A1E3-42BB4228E6A3}"/>
  <namedSheetView name="View3" id="{0BA736E5-C7AC-4F12-9AD4-89E80516D48D}"/>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71C7A7F-AA0A-4B1F-BCD7-4AEFD28EAAF4}">
    <nsvFilter filterId="{60E50549-5A68-42FA-B813-A819F0A37F65}" ref="A2:R48" tableId="3">
      <sortRules>
        <sortRule colId="3" id="{70616B0A-40CC-4A20-A8CD-62FEE0186F0D}">
          <sortCondition ref="D2:D48"/>
        </sortRule>
        <sortRule colId="4" id="{44F96E9E-3F94-4D5C-8641-591E85E8F341}">
          <sortCondition ref="E2:E48"/>
        </sortRule>
      </sortRules>
    </nsvFilter>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CF58587-B214-4723-8FAE-FEF297E15696}"/>
  <namedSheetView name="View2" id="{68BCB8A8-C6F1-4D4D-B93B-E24FF38E06B6}"/>
  <namedSheetView name="View3" id="{66522FA6-1AA6-492A-84C3-25CEC62B7706}"/>
</namedSheetViews>
</file>

<file path=xl/persons/person.xml><?xml version="1.0" encoding="utf-8"?>
<personList xmlns="http://schemas.microsoft.com/office/spreadsheetml/2018/threadedcomments" xmlns:x="http://schemas.openxmlformats.org/spreadsheetml/2006/main">
  <person displayName="Clement Tan" id="{31BF2508-2F17-4DC2-87B5-B51772E7814F}" userId="Clement_Tan@ensigninfosecurity.com" providerId="PeoplePicker"/>
  <person displayName="Clement Tan" id="{4322A3E9-AC5A-4016-B19D-69B40609634B}" userId="S::Clement_Tan@ensigninfosecurity.com::d6357f3a-c221-40be-bd76-19c99e5ad3e5" providerId="AD"/>
  <person displayName="Leonard Koh" id="{80BD1AA0-BFF2-404F-AE64-F6A9EDC0F1D3}" userId="S::Leonard_Koh@ensigninfosecurity.com::404fc443-3c64-4a63-b76e-cac75861f34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FD9FE4-41A3-4666-A42C-6FCD1943A5B7}" name="Table12" displayName="Table12" ref="A2:T60" totalsRowShown="0" headerRowDxfId="67" dataDxfId="65" headerRowBorderDxfId="66" tableBorderDxfId="64" totalsRowBorderDxfId="63">
  <autoFilter ref="A2:T60" xr:uid="{AFFD9FE4-41A3-4666-A42C-6FCD1943A5B7}"/>
  <tableColumns count="20">
    <tableColumn id="1" xr3:uid="{2A5A44ED-D660-48DF-8321-444DF2BF324D}" name="S/N" dataDxfId="62"/>
    <tableColumn id="25" xr3:uid="{37403DC7-DB55-46B2-BD71-F2FDB85F982E}" name="Inject ID" dataDxfId="61"/>
    <tableColumn id="24" xr3:uid="{D5511CBC-42F4-4585-8FCE-4C35955F41D9}" name="Inject Type" dataDxfId="60"/>
    <tableColumn id="8" xr3:uid="{7B6D69A0-CFBB-41AD-9079-736C2DFAE45C}" name="Real Day" dataDxfId="59"/>
    <tableColumn id="2" xr3:uid="{C8C081C2-30A6-441A-83C2-FDA55187914F}" name="Real Time" dataDxfId="58"/>
    <tableColumn id="3" xr3:uid="{51253551-E3C7-4D3F-8804-49AE3B088481}" name="Inject/Sequence" dataDxfId="57"/>
    <tableColumn id="6" xr3:uid="{F5B7856B-5FCE-400C-92CB-7B9D809A9427}" name="Artefact" dataDxfId="56"/>
    <tableColumn id="4" xr3:uid="{7279CDBB-0EFA-4414-BA1D-AAEEA58E04A9}" name="Expected Company Response" dataDxfId="55"/>
    <tableColumn id="12" xr3:uid="{62FA6E8D-9A4F-48B2-BD38-A269D8B57270}" name="Notes" dataDxfId="54"/>
    <tableColumn id="7" xr3:uid="{BD496D92-A512-4C05-8939-534F88201A50}" name="CompanyL (SG)" dataDxfId="53"/>
    <tableColumn id="5" xr3:uid="{F75CEEF1-E244-4EE2-BA75-801E0586BF44}" name="CompanyG (SG)"/>
    <tableColumn id="16" xr3:uid="{E3D884D5-8FE8-40B3-9CD4-6666CC5E7696}" name="CompanyLM (MY)"/>
    <tableColumn id="13" xr3:uid="{311C4406-A0D8-40BA-A301-3F9DE76EB092}" name="CompanyGM (MY)"/>
    <tableColumn id="14" xr3:uid="{2D9D73D5-FB54-4836-8ADE-F44A6C1FF1EE}" name="CompanyTB (MY)"/>
    <tableColumn id="19" xr3:uid="{FFB41D59-83B1-4B3E-9C9B-49BA6CB60693}" name="CompanyLI (ID)" dataDxfId="52"/>
    <tableColumn id="20" xr3:uid="{56A72F32-7115-4D13-AC3C-3BAC589C08FE}" name="CompanyGI (ID)" dataDxfId="51"/>
    <tableColumn id="9" xr3:uid="{211C2731-E67D-43D6-B4C7-7DC731064D35}" name="Sce. #" dataDxfId="50"/>
    <tableColumn id="10" xr3:uid="{AC51039F-9551-4DC0-9CF9-0771D5FEA495}" name="From" dataDxfId="49"/>
    <tableColumn id="11" xr3:uid="{F22BDC4D-A129-480A-8766-F2F4FCF31B2D}" name="To" dataDxfId="48"/>
    <tableColumn id="15" xr3:uid="{1317B51D-E779-43B2-821C-10CF4251BA35}" name="To address" dataDxfId="47"/>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EF9FBE-CEEC-4171-ADE9-3ACAE8B28333}" name="Table124" displayName="Table124" ref="A2:R48" totalsRowShown="0" headerRowDxfId="46" dataDxfId="44" headerRowBorderDxfId="45" tableBorderDxfId="43" totalsRowBorderDxfId="42">
  <autoFilter ref="A2:R48" xr:uid="{60E50549-5A68-42FA-B813-A819F0A37F65}"/>
  <sortState xmlns:xlrd2="http://schemas.microsoft.com/office/spreadsheetml/2017/richdata2" ref="A3:R48">
    <sortCondition ref="J2:J48"/>
  </sortState>
  <tableColumns count="18">
    <tableColumn id="1" xr3:uid="{B9F43F9F-6DCD-45B9-B8A9-C7DEDB6BAFC0}" name="S/N" dataDxfId="41"/>
    <tableColumn id="25" xr3:uid="{AEBD5060-88A5-446E-844F-8EA1769EE4AE}" name="Inject ID" dataDxfId="40"/>
    <tableColumn id="24" xr3:uid="{469D8E4D-BF33-4817-9839-19A018E28813}" name="Inject Type" dataDxfId="39"/>
    <tableColumn id="8" xr3:uid="{70616B0A-40CC-4A20-A8CD-62FEE0186F0D}" name="Real Day" dataDxfId="38"/>
    <tableColumn id="2" xr3:uid="{44F96E9E-3F94-4D5C-8641-591E85E8F341}" name="Real Time" dataDxfId="37"/>
    <tableColumn id="3" xr3:uid="{F7B1184F-8F8A-4FCA-AC2B-B336CD56F838}" name="Inject/Sequence" dataDxfId="36"/>
    <tableColumn id="7" xr3:uid="{2B18C335-661C-47B5-B07C-6814318421F9}" name="MPA" dataDxfId="35"/>
    <tableColumn id="19" xr3:uid="{A132DB74-0F19-427E-B3A8-73C6DA5FE8C0}" name="PSA" dataDxfId="34"/>
    <tableColumn id="20" xr3:uid="{3214C419-0F51-47F9-AA19-5E5D3508AB71}" name="JP" dataDxfId="33"/>
    <tableColumn id="9" xr3:uid="{FD0108DE-C96A-4825-BDA3-F0CECCE1A498}" name="Sce. #" dataDxfId="32"/>
    <tableColumn id="22" xr3:uid="{E734F860-04A0-42D2-A5AB-F485298C4D05}" name="Targeted Orgs" dataDxfId="31">
      <calculatedColumnFormula>_xlfn.CONCAT(IF(ISBLANK(G3)=FALSE,"MPA, ",""),IF(ISBLANK(H3)=FALSE,"PSA, ",""),IF(ISBLANK(I3)=FALSE,"JP, ",""),IF(ISBLANK(#REF!)=FALSE,"PIL, ",""))</calculatedColumnFormula>
    </tableColumn>
    <tableColumn id="10" xr3:uid="{0A5F606F-60D4-4AD3-B037-5B09CA60A233}" name="From" dataDxfId="30"/>
    <tableColumn id="11" xr3:uid="{64142DE2-A279-4339-BB00-FBDC1B3D2BF4}" name="To" dataDxfId="29"/>
    <tableColumn id="15" xr3:uid="{EB7E7596-D7A0-4EEA-A330-42BB165F3A24}" name="Threat Actor" dataDxfId="28"/>
    <tableColumn id="5" xr3:uid="{6AE0595E-BB5A-4C41-A0AE-F30AB9A7EE8D}" name="TTPs" dataDxfId="27"/>
    <tableColumn id="18" xr3:uid="{089C1BE0-ACC2-4070-A480-40D8E2A8A97B}" name="Impact" dataDxfId="26"/>
    <tableColumn id="23" xr3:uid="{C523DB6B-02FD-4A82-A812-6EA483369157}" name="Scenario Correlation" dataDxfId="25"/>
    <tableColumn id="6" xr3:uid="{12B2ACDB-1A57-4107-B8FE-99514CD1FC41}" name="Notes" dataDxfId="24"/>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2-08-12T01:53:00.42" personId="{80BD1AA0-BFF2-404F-AE64-F6A9EDC0F1D3}" id="{534421E0-21C2-4615-9867-7EF9D7291513}">
    <text>@Clement Tan do you mean for the CMG/CMT scanrios to be in this sequence? JP's CMT is on day 1. 
also, are these scenarios already in the sequence to be played out? Please do so if they are not. But we can say indicative only.</text>
    <mentions>
      <mention mentionpersonId="{31BF2508-2F17-4DC2-87B5-B51772E7814F}" mentionId="{EFF0AD1C-A63C-4703-867A-7430050D3698}" startIndex="0" length="12"/>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F55" dT="2024-08-22T12:27:59.68" personId="{4322A3E9-AC5A-4016-B19D-69B40609634B}" id="{5C520519-46E9-42DE-87BB-A419631C8E4E}">
    <text>MAUI Ransomware
TTPs Used by Maui Ransomware
Tactic: Execution
MITRE ATT&amp;CK T1059 Command and Scripting Interpreter
Tactic: Impact
MITRE ATT&amp;CK T1486 Data Encrypted for Impact
Maui ransomware uses a hybrid encryption approach and utilizes AES, RSA, and XOR encryption in various attack steps.
Maui contains a hard-coded RSA public key in its executable and generates a new RSA public-private key pair using the hard-coded public key at the beginning of encryption.
The new private key is stored as "maui.evd".
Then, Maui generates a 16-byte XOR key using information about "\\.\PhysicalDrive0" and encodes the new public key with the XOR key.
The encoded public key is stored as "maui.key"
Maui uses AES 128-bit symmetric encryption in CBC mode to encrypt the victim's files.
Each file is encrypted with a unique secret key. 
After file encryption, Maui encrypts the secret key with the new public key generated in the first step.
Indicators of Compromises
SHA-256
45d8ac1ac692d6bb0fe776620371fca02b60cac8db23c4cc7ab5df262da42b78
830207029d83fd46a4a89cd623103ba2321b866428aa04360376e6a390063570
5b7ecf7e9d0715f1122baf4ce745c5fcd769dee48150616753fec4d6da16e99e
MD5
9b0e7c460a80f740d455a7521f0eada1
2d02f5499d35a8dffb4c8bc0b7fec5c2
4118d9adce7350c3eedeb056a3335346
SHA-1
271b90824c7bb1de98c7fa9dae6dcd59d8a0bd64
870ccd59ad2d3808c014c7c1dcc8a54de375db0c
c0e6d59e99e4adb58a2f57abf0deba61dee55c2f</text>
    <extLst>
      <x:ext xmlns:xltc2="http://schemas.microsoft.com/office/spreadsheetml/2020/threadedcomments2" uri="{F7C98A9C-CBB3-438F-8F68-D28B6AF4A901}">
        <xltc2:checksum>2842124870</xltc2:checksum>
        <xltc2:hyperlink startIndex="575" length="18" url="\\.\PhysicalDrive0"/>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digitalPort@SG&#8482;" TargetMode="External"/><Relationship Id="rId1" Type="http://schemas.openxmlformats.org/officeDocument/2006/relationships/hyperlink" Target="mailto:digitalPort@SG&#8482;%20(log4j)"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6" Type="http://schemas.microsoft.com/office/2019/04/relationships/namedSheetView" Target="../namedSheetViews/namedSheetView1.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19/04/relationships/namedSheetView" Target="../namedSheetViews/namedSheetView2.xml"/><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B3994-8BB0-44F6-B80F-5C5AE48B8F24}">
  <dimension ref="B1:AC128"/>
  <sheetViews>
    <sheetView workbookViewId="0"/>
  </sheetViews>
  <sheetFormatPr baseColWidth="10" defaultColWidth="8.5703125" defaultRowHeight="42.75" customHeight="1"/>
  <cols>
    <col min="1" max="1" width="3.28515625" style="21" customWidth="1"/>
    <col min="2" max="2" width="14.28515625" style="21" customWidth="1"/>
    <col min="3" max="3" width="6.7109375" style="21" customWidth="1"/>
    <col min="4" max="4" width="7.140625" style="21" customWidth="1"/>
    <col min="5" max="5" width="6.7109375" style="21" customWidth="1"/>
    <col min="6" max="6" width="9.7109375" style="21" customWidth="1"/>
    <col min="7" max="7" width="26.140625" style="21" customWidth="1"/>
    <col min="8" max="8" width="26.140625" style="21" hidden="1" customWidth="1"/>
    <col min="9" max="10" width="22.28515625" style="22" customWidth="1"/>
    <col min="11" max="11" width="45.140625" style="23" customWidth="1"/>
    <col min="12" max="12" width="47.5703125" style="23" customWidth="1"/>
    <col min="13" max="13" width="31.28515625" style="65" customWidth="1"/>
    <col min="14" max="14" width="24.140625" style="65" customWidth="1"/>
    <col min="15" max="15" width="64.85546875" style="24" customWidth="1"/>
    <col min="16" max="16" width="10.7109375" style="25" customWidth="1"/>
    <col min="17" max="17" width="23.42578125" style="21" customWidth="1"/>
    <col min="18" max="18" width="19.7109375" style="21" customWidth="1"/>
    <col min="19" max="19" width="21.5703125" style="21" customWidth="1"/>
    <col min="20" max="20" width="20.28515625" style="26" customWidth="1"/>
    <col min="21" max="21" width="21" style="26" customWidth="1"/>
    <col min="22" max="22" width="23.42578125" style="26" customWidth="1"/>
    <col min="23" max="23" width="14.140625" style="25" bestFit="1" customWidth="1"/>
    <col min="24" max="24" width="12" style="26" customWidth="1"/>
    <col min="25" max="25" width="16.5703125" style="26" customWidth="1"/>
    <col min="26" max="26" width="11.7109375" style="26" customWidth="1"/>
    <col min="27" max="29" width="12.7109375" style="21" customWidth="1"/>
    <col min="30" max="16384" width="8.5703125" style="21"/>
  </cols>
  <sheetData>
    <row r="1" spans="2:29" ht="42.75" customHeight="1" thickBot="1">
      <c r="X1" s="27"/>
      <c r="Y1" s="27"/>
      <c r="AA1" s="294" t="s">
        <v>0</v>
      </c>
      <c r="AB1" s="294"/>
      <c r="AC1" s="294"/>
    </row>
    <row r="2" spans="2:29" s="31" customFormat="1" ht="114">
      <c r="B2" s="28" t="s">
        <v>1</v>
      </c>
      <c r="C2" s="28" t="s">
        <v>2</v>
      </c>
      <c r="D2" s="28" t="s">
        <v>3</v>
      </c>
      <c r="E2" s="28" t="s">
        <v>4</v>
      </c>
      <c r="F2" s="29" t="s">
        <v>5</v>
      </c>
      <c r="G2" s="28" t="s">
        <v>6</v>
      </c>
      <c r="H2" s="28" t="s">
        <v>7</v>
      </c>
      <c r="I2" s="28" t="s">
        <v>8</v>
      </c>
      <c r="J2" s="30" t="s">
        <v>9</v>
      </c>
      <c r="K2" s="30" t="s">
        <v>10</v>
      </c>
      <c r="L2" s="63" t="s">
        <v>11</v>
      </c>
      <c r="M2" s="30" t="s">
        <v>12</v>
      </c>
      <c r="N2" s="30" t="s">
        <v>13</v>
      </c>
      <c r="O2" s="30" t="s">
        <v>14</v>
      </c>
      <c r="P2" s="28" t="s">
        <v>15</v>
      </c>
      <c r="Q2" s="28" t="s">
        <v>16</v>
      </c>
      <c r="R2" s="28" t="s">
        <v>17</v>
      </c>
      <c r="S2" s="28" t="s">
        <v>18</v>
      </c>
      <c r="T2" s="28" t="s">
        <v>19</v>
      </c>
      <c r="U2" s="28" t="s">
        <v>20</v>
      </c>
      <c r="V2" s="28" t="s">
        <v>21</v>
      </c>
      <c r="W2" s="28" t="s">
        <v>22</v>
      </c>
      <c r="X2" s="28" t="s">
        <v>23</v>
      </c>
      <c r="Y2" s="28" t="s">
        <v>24</v>
      </c>
      <c r="Z2" s="28" t="s">
        <v>25</v>
      </c>
      <c r="AA2" s="28" t="s">
        <v>26</v>
      </c>
      <c r="AB2" s="28" t="s">
        <v>26</v>
      </c>
      <c r="AC2" s="28" t="s">
        <v>27</v>
      </c>
    </row>
    <row r="3" spans="2:29" s="46" customFormat="1" ht="42.75" customHeight="1">
      <c r="B3" s="309">
        <v>1</v>
      </c>
      <c r="C3" s="311" t="s">
        <v>28</v>
      </c>
      <c r="D3" s="313"/>
      <c r="E3" s="313"/>
      <c r="F3" s="308" t="str">
        <f>_xlfn.CONCAT(IF(ISBLANK(C3)=FALSE,"MPA, ",""),IF(ISBLANK(D3)=FALSE,"PSA, ",""),IF(ISBLANK(E3)=FALSE,"JP, ",""))</f>
        <v xml:space="preserve">MPA, </v>
      </c>
      <c r="G3" s="296" t="s">
        <v>375</v>
      </c>
      <c r="H3" s="295"/>
      <c r="I3" s="316" t="s">
        <v>374</v>
      </c>
      <c r="J3" s="318"/>
      <c r="K3" s="36" t="s">
        <v>319</v>
      </c>
      <c r="L3" s="36" t="s">
        <v>318</v>
      </c>
      <c r="M3" s="55" t="s">
        <v>339</v>
      </c>
      <c r="N3" s="306" t="s">
        <v>2</v>
      </c>
      <c r="O3" s="57"/>
      <c r="P3" s="307"/>
      <c r="Q3" s="302" t="s">
        <v>30</v>
      </c>
      <c r="R3" s="302"/>
      <c r="S3" s="302"/>
      <c r="T3" s="302" t="s">
        <v>28</v>
      </c>
      <c r="U3" s="302"/>
      <c r="V3" s="302"/>
      <c r="W3" s="304">
        <v>2</v>
      </c>
      <c r="X3" s="300">
        <v>3</v>
      </c>
      <c r="Y3" s="300">
        <v>3</v>
      </c>
      <c r="Z3" s="302" t="s">
        <v>31</v>
      </c>
      <c r="AA3" s="298"/>
      <c r="AB3" s="298"/>
      <c r="AC3" s="298"/>
    </row>
    <row r="4" spans="2:29" s="46" customFormat="1" ht="42.75" customHeight="1">
      <c r="B4" s="309"/>
      <c r="C4" s="311"/>
      <c r="D4" s="313"/>
      <c r="E4" s="313"/>
      <c r="F4" s="308"/>
      <c r="G4" s="296"/>
      <c r="H4" s="296"/>
      <c r="I4" s="316"/>
      <c r="J4" s="318"/>
      <c r="K4" s="53" t="s">
        <v>29</v>
      </c>
      <c r="L4" s="53" t="s">
        <v>284</v>
      </c>
      <c r="M4" s="55" t="s">
        <v>342</v>
      </c>
      <c r="N4" s="306"/>
      <c r="O4" s="57"/>
      <c r="P4" s="308"/>
      <c r="Q4" s="302"/>
      <c r="R4" s="302"/>
      <c r="S4" s="302"/>
      <c r="T4" s="302"/>
      <c r="U4" s="302"/>
      <c r="V4" s="302"/>
      <c r="W4" s="304"/>
      <c r="X4" s="300"/>
      <c r="Y4" s="300"/>
      <c r="Z4" s="302"/>
      <c r="AA4" s="298"/>
      <c r="AB4" s="298"/>
      <c r="AC4" s="298"/>
    </row>
    <row r="5" spans="2:29" s="46" customFormat="1" ht="42.75" customHeight="1">
      <c r="B5" s="309"/>
      <c r="C5" s="311"/>
      <c r="D5" s="313"/>
      <c r="E5" s="313"/>
      <c r="F5" s="308"/>
      <c r="G5" s="296"/>
      <c r="H5" s="296"/>
      <c r="I5" s="316"/>
      <c r="J5" s="318"/>
      <c r="K5" s="53" t="s">
        <v>32</v>
      </c>
      <c r="L5" s="53" t="s">
        <v>253</v>
      </c>
      <c r="M5" s="55" t="s">
        <v>342</v>
      </c>
      <c r="N5" s="306"/>
      <c r="O5" s="58"/>
      <c r="P5" s="308"/>
      <c r="Q5" s="302"/>
      <c r="R5" s="302"/>
      <c r="S5" s="302"/>
      <c r="T5" s="302"/>
      <c r="U5" s="302"/>
      <c r="V5" s="302"/>
      <c r="W5" s="304"/>
      <c r="X5" s="300"/>
      <c r="Y5" s="300"/>
      <c r="Z5" s="302"/>
      <c r="AA5" s="298"/>
      <c r="AB5" s="298"/>
      <c r="AC5" s="298"/>
    </row>
    <row r="6" spans="2:29" s="46" customFormat="1" ht="42.75" customHeight="1">
      <c r="B6" s="309"/>
      <c r="C6" s="311"/>
      <c r="D6" s="313"/>
      <c r="E6" s="313"/>
      <c r="F6" s="308"/>
      <c r="G6" s="296"/>
      <c r="H6" s="296"/>
      <c r="I6" s="316"/>
      <c r="J6" s="318"/>
      <c r="K6" s="53" t="s">
        <v>33</v>
      </c>
      <c r="L6" s="53" t="s">
        <v>320</v>
      </c>
      <c r="M6" s="55" t="s">
        <v>342</v>
      </c>
      <c r="N6" s="306"/>
      <c r="O6" s="57"/>
      <c r="P6" s="308"/>
      <c r="Q6" s="302"/>
      <c r="R6" s="302"/>
      <c r="S6" s="302"/>
      <c r="T6" s="302"/>
      <c r="U6" s="302"/>
      <c r="V6" s="302"/>
      <c r="W6" s="304"/>
      <c r="X6" s="300"/>
      <c r="Y6" s="300"/>
      <c r="Z6" s="302"/>
      <c r="AA6" s="298"/>
      <c r="AB6" s="298"/>
      <c r="AC6" s="298"/>
    </row>
    <row r="7" spans="2:29" s="46" customFormat="1" ht="42.75" customHeight="1">
      <c r="B7" s="309"/>
      <c r="C7" s="311"/>
      <c r="D7" s="313"/>
      <c r="E7" s="313"/>
      <c r="F7" s="308"/>
      <c r="G7" s="296"/>
      <c r="H7" s="296"/>
      <c r="I7" s="316"/>
      <c r="J7" s="318"/>
      <c r="K7" s="53" t="s">
        <v>340</v>
      </c>
      <c r="L7" s="53" t="s">
        <v>341</v>
      </c>
      <c r="M7" s="55" t="s">
        <v>342</v>
      </c>
      <c r="N7" s="306"/>
      <c r="O7" s="57"/>
      <c r="P7" s="308"/>
      <c r="Q7" s="302"/>
      <c r="R7" s="302"/>
      <c r="S7" s="302"/>
      <c r="T7" s="302"/>
      <c r="U7" s="302"/>
      <c r="V7" s="302"/>
      <c r="W7" s="304"/>
      <c r="X7" s="300"/>
      <c r="Y7" s="300"/>
      <c r="Z7" s="302"/>
      <c r="AA7" s="298"/>
      <c r="AB7" s="298"/>
      <c r="AC7" s="298"/>
    </row>
    <row r="8" spans="2:29" s="46" customFormat="1" ht="42.75" customHeight="1">
      <c r="B8" s="309"/>
      <c r="C8" s="311"/>
      <c r="D8" s="313"/>
      <c r="E8" s="313"/>
      <c r="F8" s="308"/>
      <c r="G8" s="296"/>
      <c r="H8" s="296"/>
      <c r="I8" s="316"/>
      <c r="J8" s="318"/>
      <c r="K8" s="53"/>
      <c r="L8" s="53"/>
      <c r="M8" s="55"/>
      <c r="N8" s="306"/>
      <c r="O8" s="57"/>
      <c r="P8" s="308"/>
      <c r="Q8" s="303"/>
      <c r="R8" s="303"/>
      <c r="S8" s="303"/>
      <c r="T8" s="303"/>
      <c r="U8" s="303"/>
      <c r="V8" s="303"/>
      <c r="W8" s="305"/>
      <c r="X8" s="301"/>
      <c r="Y8" s="301"/>
      <c r="Z8" s="303"/>
      <c r="AA8" s="299"/>
      <c r="AB8" s="299"/>
      <c r="AC8" s="299"/>
    </row>
    <row r="9" spans="2:29" s="46" customFormat="1" ht="42.75" customHeight="1">
      <c r="B9" s="310"/>
      <c r="C9" s="312"/>
      <c r="D9" s="314"/>
      <c r="E9" s="314"/>
      <c r="F9" s="315"/>
      <c r="G9" s="297"/>
      <c r="H9" s="297"/>
      <c r="I9" s="317"/>
      <c r="J9" s="319"/>
      <c r="K9" s="54" t="s">
        <v>37</v>
      </c>
      <c r="L9" s="54" t="s">
        <v>321</v>
      </c>
      <c r="M9" s="56" t="s">
        <v>39</v>
      </c>
      <c r="N9" s="234"/>
      <c r="O9" s="59"/>
      <c r="P9" s="308"/>
      <c r="Q9" s="303"/>
      <c r="R9" s="303"/>
      <c r="S9" s="303"/>
      <c r="T9" s="303"/>
      <c r="U9" s="303"/>
      <c r="V9" s="303"/>
      <c r="W9" s="305"/>
      <c r="X9" s="301"/>
      <c r="Y9" s="301"/>
      <c r="Z9" s="303"/>
      <c r="AA9" s="299"/>
      <c r="AB9" s="299"/>
      <c r="AC9" s="299"/>
    </row>
    <row r="10" spans="2:29" ht="42.75" customHeight="1">
      <c r="B10" s="255">
        <v>2</v>
      </c>
      <c r="C10" s="246" t="s">
        <v>28</v>
      </c>
      <c r="D10" s="246"/>
      <c r="E10" s="246"/>
      <c r="F10" s="224" t="str">
        <f>_xlfn.CONCAT(IF(ISBLANK(C10)=FALSE,"MPA, ",""),IF(ISBLANK(D10)=FALSE,"PSA, ",""),IF(ISBLANK(E10)=FALSE,"JP, ",""))</f>
        <v xml:space="preserve">MPA, </v>
      </c>
      <c r="G10" s="224" t="s">
        <v>40</v>
      </c>
      <c r="H10" s="225"/>
      <c r="I10" s="320" t="s">
        <v>352</v>
      </c>
      <c r="J10" s="237"/>
      <c r="K10" s="53" t="s">
        <v>29</v>
      </c>
      <c r="L10" s="53"/>
      <c r="M10" s="55" t="s">
        <v>41</v>
      </c>
      <c r="N10" s="306" t="s">
        <v>42</v>
      </c>
      <c r="O10" s="57"/>
      <c r="P10" s="224"/>
      <c r="Q10" s="224"/>
      <c r="R10" s="261" t="s">
        <v>28</v>
      </c>
      <c r="S10" s="332" t="s">
        <v>28</v>
      </c>
      <c r="T10" s="261" t="s">
        <v>28</v>
      </c>
      <c r="U10" s="261" t="s">
        <v>28</v>
      </c>
      <c r="V10" s="261"/>
      <c r="W10" s="336">
        <v>2</v>
      </c>
      <c r="X10" s="327">
        <v>1</v>
      </c>
      <c r="Y10" s="327">
        <v>3</v>
      </c>
      <c r="Z10" s="261" t="s">
        <v>31</v>
      </c>
      <c r="AA10" s="334"/>
      <c r="AB10" s="334"/>
      <c r="AC10" s="334"/>
    </row>
    <row r="11" spans="2:29" ht="19">
      <c r="B11" s="255"/>
      <c r="C11" s="246"/>
      <c r="D11" s="246"/>
      <c r="E11" s="246"/>
      <c r="F11" s="224"/>
      <c r="G11" s="224"/>
      <c r="H11" s="226"/>
      <c r="I11" s="320"/>
      <c r="J11" s="264"/>
      <c r="K11" s="53" t="s">
        <v>32</v>
      </c>
      <c r="L11" s="53"/>
      <c r="M11" s="55" t="s">
        <v>41</v>
      </c>
      <c r="N11" s="306"/>
      <c r="O11" s="57"/>
      <c r="P11" s="224"/>
      <c r="Q11" s="224"/>
      <c r="R11" s="261"/>
      <c r="S11" s="332"/>
      <c r="T11" s="261"/>
      <c r="U11" s="261"/>
      <c r="V11" s="261"/>
      <c r="W11" s="336"/>
      <c r="X11" s="327"/>
      <c r="Y11" s="327"/>
      <c r="Z11" s="261"/>
      <c r="AA11" s="334"/>
      <c r="AB11" s="334"/>
      <c r="AC11" s="334"/>
    </row>
    <row r="12" spans="2:29" ht="89.25" customHeight="1">
      <c r="B12" s="255"/>
      <c r="C12" s="246"/>
      <c r="D12" s="246"/>
      <c r="E12" s="246"/>
      <c r="F12" s="224"/>
      <c r="G12" s="224"/>
      <c r="H12" s="226"/>
      <c r="I12" s="320"/>
      <c r="J12" s="264"/>
      <c r="K12" s="53" t="s">
        <v>35</v>
      </c>
      <c r="L12" s="53"/>
      <c r="M12" s="306" t="s">
        <v>43</v>
      </c>
      <c r="N12" s="306"/>
      <c r="O12" s="325"/>
      <c r="P12" s="224"/>
      <c r="Q12" s="224"/>
      <c r="R12" s="261"/>
      <c r="S12" s="332"/>
      <c r="T12" s="261"/>
      <c r="U12" s="261"/>
      <c r="V12" s="261"/>
      <c r="W12" s="336"/>
      <c r="X12" s="327"/>
      <c r="Y12" s="327"/>
      <c r="Z12" s="261"/>
      <c r="AA12" s="334"/>
      <c r="AB12" s="334"/>
      <c r="AC12" s="334"/>
    </row>
    <row r="13" spans="2:29" ht="73.5" customHeight="1">
      <c r="B13" s="255"/>
      <c r="C13" s="246"/>
      <c r="D13" s="246"/>
      <c r="E13" s="246"/>
      <c r="F13" s="224"/>
      <c r="G13" s="224"/>
      <c r="H13" s="226"/>
      <c r="I13" s="320"/>
      <c r="J13" s="264"/>
      <c r="K13" s="53" t="s">
        <v>36</v>
      </c>
      <c r="L13" s="53"/>
      <c r="M13" s="306"/>
      <c r="N13" s="306"/>
      <c r="O13" s="325"/>
      <c r="P13" s="224"/>
      <c r="Q13" s="224"/>
      <c r="R13" s="261"/>
      <c r="S13" s="332"/>
      <c r="T13" s="261"/>
      <c r="U13" s="261"/>
      <c r="V13" s="261"/>
      <c r="W13" s="336"/>
      <c r="X13" s="327"/>
      <c r="Y13" s="327"/>
      <c r="Z13" s="261"/>
      <c r="AA13" s="334"/>
      <c r="AB13" s="334"/>
      <c r="AC13" s="334"/>
    </row>
    <row r="14" spans="2:29" ht="42.75" customHeight="1">
      <c r="B14" s="255"/>
      <c r="C14" s="232"/>
      <c r="D14" s="232"/>
      <c r="E14" s="232"/>
      <c r="F14" s="225"/>
      <c r="G14" s="225"/>
      <c r="H14" s="226"/>
      <c r="I14" s="321"/>
      <c r="J14" s="264"/>
      <c r="K14" s="53" t="s">
        <v>32</v>
      </c>
      <c r="L14" s="53"/>
      <c r="M14" s="306"/>
      <c r="N14" s="306"/>
      <c r="O14" s="325"/>
      <c r="P14" s="225"/>
      <c r="Q14" s="225"/>
      <c r="R14" s="237"/>
      <c r="S14" s="333"/>
      <c r="T14" s="237"/>
      <c r="U14" s="237"/>
      <c r="V14" s="237"/>
      <c r="W14" s="322"/>
      <c r="X14" s="241"/>
      <c r="Y14" s="241"/>
      <c r="Z14" s="237"/>
      <c r="AA14" s="335"/>
      <c r="AB14" s="335"/>
      <c r="AC14" s="335"/>
    </row>
    <row r="15" spans="2:29" ht="42.75" customHeight="1">
      <c r="B15" s="255"/>
      <c r="C15" s="232"/>
      <c r="D15" s="232"/>
      <c r="E15" s="232"/>
      <c r="F15" s="225"/>
      <c r="G15" s="225"/>
      <c r="H15" s="227"/>
      <c r="I15" s="321"/>
      <c r="J15" s="238"/>
      <c r="K15" s="54" t="s">
        <v>37</v>
      </c>
      <c r="L15" s="54"/>
      <c r="M15" s="56" t="s">
        <v>353</v>
      </c>
      <c r="N15" s="56" t="s">
        <v>3</v>
      </c>
      <c r="O15" s="59"/>
      <c r="P15" s="225"/>
      <c r="Q15" s="225"/>
      <c r="R15" s="237"/>
      <c r="S15" s="333"/>
      <c r="T15" s="237"/>
      <c r="U15" s="237"/>
      <c r="V15" s="237"/>
      <c r="W15" s="322"/>
      <c r="X15" s="241"/>
      <c r="Y15" s="241"/>
      <c r="Z15" s="237"/>
      <c r="AA15" s="335"/>
      <c r="AB15" s="335"/>
      <c r="AC15" s="335"/>
    </row>
    <row r="16" spans="2:29" ht="61.5" customHeight="1">
      <c r="B16" s="251">
        <v>3</v>
      </c>
      <c r="C16" s="232" t="s">
        <v>28</v>
      </c>
      <c r="D16" s="232"/>
      <c r="E16" s="232"/>
      <c r="F16" s="225" t="str">
        <f>_xlfn.CONCAT(IF(ISBLANK(C16)=FALSE,"MPA, ",""),IF(ISBLANK(D16)=FALSE,"PSA, ",""),IF(ISBLANK(E16)=FALSE,"JP, ",""))</f>
        <v xml:space="preserve">MPA, </v>
      </c>
      <c r="G16" s="225" t="s">
        <v>44</v>
      </c>
      <c r="H16" s="225"/>
      <c r="I16" s="237" t="s">
        <v>45</v>
      </c>
      <c r="J16" s="237"/>
      <c r="K16" s="53" t="s">
        <v>29</v>
      </c>
      <c r="L16" s="53"/>
      <c r="M16" s="306" t="s">
        <v>46</v>
      </c>
      <c r="N16" s="55" t="s">
        <v>2</v>
      </c>
      <c r="O16" s="57"/>
      <c r="P16" s="225"/>
      <c r="Q16" s="237" t="s">
        <v>28</v>
      </c>
      <c r="R16" s="237"/>
      <c r="S16" s="237" t="s">
        <v>30</v>
      </c>
      <c r="T16" s="237" t="s">
        <v>28</v>
      </c>
      <c r="U16" s="237"/>
      <c r="V16" s="237" t="s">
        <v>28</v>
      </c>
      <c r="W16" s="239">
        <v>3</v>
      </c>
      <c r="X16" s="241">
        <v>1</v>
      </c>
      <c r="Y16" s="241">
        <v>2</v>
      </c>
      <c r="Z16" s="237" t="s">
        <v>47</v>
      </c>
      <c r="AA16" s="335"/>
      <c r="AB16" s="335"/>
      <c r="AC16" s="335"/>
    </row>
    <row r="17" spans="2:29" ht="42.75" customHeight="1">
      <c r="B17" s="252"/>
      <c r="C17" s="254"/>
      <c r="D17" s="254"/>
      <c r="E17" s="254"/>
      <c r="F17" s="226"/>
      <c r="G17" s="226"/>
      <c r="H17" s="226"/>
      <c r="I17" s="264"/>
      <c r="J17" s="264"/>
      <c r="K17" s="53" t="s">
        <v>32</v>
      </c>
      <c r="L17" s="53"/>
      <c r="M17" s="306"/>
      <c r="N17" s="55" t="s">
        <v>2</v>
      </c>
      <c r="O17" s="57"/>
      <c r="P17" s="226"/>
      <c r="Q17" s="264"/>
      <c r="R17" s="264"/>
      <c r="S17" s="264"/>
      <c r="T17" s="264"/>
      <c r="U17" s="264"/>
      <c r="V17" s="264"/>
      <c r="W17" s="265"/>
      <c r="X17" s="259"/>
      <c r="Y17" s="259"/>
      <c r="Z17" s="264"/>
      <c r="AA17" s="337"/>
      <c r="AB17" s="337"/>
      <c r="AC17" s="337"/>
    </row>
    <row r="18" spans="2:29" ht="42.75" customHeight="1">
      <c r="B18" s="252"/>
      <c r="C18" s="254"/>
      <c r="D18" s="254"/>
      <c r="E18" s="254"/>
      <c r="F18" s="226"/>
      <c r="G18" s="226"/>
      <c r="H18" s="226"/>
      <c r="I18" s="264"/>
      <c r="J18" s="264"/>
      <c r="K18" s="53" t="s">
        <v>33</v>
      </c>
      <c r="L18" s="53"/>
      <c r="M18" s="339" t="s">
        <v>354</v>
      </c>
      <c r="N18" s="306" t="s">
        <v>49</v>
      </c>
      <c r="O18" s="330"/>
      <c r="P18" s="226"/>
      <c r="Q18" s="264"/>
      <c r="R18" s="264"/>
      <c r="S18" s="264"/>
      <c r="T18" s="264"/>
      <c r="U18" s="264"/>
      <c r="V18" s="264"/>
      <c r="W18" s="265"/>
      <c r="X18" s="259"/>
      <c r="Y18" s="259"/>
      <c r="Z18" s="264"/>
      <c r="AA18" s="337"/>
      <c r="AB18" s="337"/>
      <c r="AC18" s="337"/>
    </row>
    <row r="19" spans="2:29" ht="42.75" customHeight="1">
      <c r="B19" s="252"/>
      <c r="C19" s="254"/>
      <c r="D19" s="254"/>
      <c r="E19" s="254"/>
      <c r="F19" s="226"/>
      <c r="G19" s="226"/>
      <c r="H19" s="226"/>
      <c r="I19" s="264"/>
      <c r="J19" s="264"/>
      <c r="K19" s="53" t="s">
        <v>50</v>
      </c>
      <c r="L19" s="53"/>
      <c r="M19" s="340"/>
      <c r="N19" s="306"/>
      <c r="O19" s="330"/>
      <c r="P19" s="226"/>
      <c r="Q19" s="264"/>
      <c r="R19" s="264"/>
      <c r="S19" s="264"/>
      <c r="T19" s="264"/>
      <c r="U19" s="264"/>
      <c r="V19" s="264"/>
      <c r="W19" s="265"/>
      <c r="X19" s="259"/>
      <c r="Y19" s="259"/>
      <c r="Z19" s="264"/>
      <c r="AA19" s="337"/>
      <c r="AB19" s="337"/>
      <c r="AC19" s="337"/>
    </row>
    <row r="20" spans="2:29" ht="42.75" customHeight="1">
      <c r="B20" s="252"/>
      <c r="C20" s="254"/>
      <c r="D20" s="254"/>
      <c r="E20" s="254"/>
      <c r="F20" s="226"/>
      <c r="G20" s="226"/>
      <c r="H20" s="226"/>
      <c r="I20" s="264"/>
      <c r="J20" s="264"/>
      <c r="K20" s="53" t="s">
        <v>36</v>
      </c>
      <c r="L20" s="53"/>
      <c r="M20" s="340"/>
      <c r="N20" s="306"/>
      <c r="O20" s="330"/>
      <c r="P20" s="226"/>
      <c r="Q20" s="264"/>
      <c r="R20" s="264"/>
      <c r="S20" s="264"/>
      <c r="T20" s="264"/>
      <c r="U20" s="264"/>
      <c r="V20" s="264"/>
      <c r="W20" s="265"/>
      <c r="X20" s="259"/>
      <c r="Y20" s="259"/>
      <c r="Z20" s="264"/>
      <c r="AA20" s="337"/>
      <c r="AB20" s="337"/>
      <c r="AC20" s="337"/>
    </row>
    <row r="21" spans="2:29" ht="42.75" customHeight="1">
      <c r="B21" s="252"/>
      <c r="C21" s="254"/>
      <c r="D21" s="254"/>
      <c r="E21" s="254"/>
      <c r="F21" s="226"/>
      <c r="G21" s="226"/>
      <c r="H21" s="226"/>
      <c r="I21" s="264"/>
      <c r="J21" s="264"/>
      <c r="K21" s="53" t="s">
        <v>35</v>
      </c>
      <c r="L21" s="53"/>
      <c r="M21" s="340"/>
      <c r="N21" s="306"/>
      <c r="O21" s="330"/>
      <c r="P21" s="226"/>
      <c r="Q21" s="264"/>
      <c r="R21" s="264"/>
      <c r="S21" s="264"/>
      <c r="T21" s="264"/>
      <c r="U21" s="264"/>
      <c r="V21" s="264"/>
      <c r="W21" s="265"/>
      <c r="X21" s="259"/>
      <c r="Y21" s="259"/>
      <c r="Z21" s="264"/>
      <c r="AA21" s="337"/>
      <c r="AB21" s="337"/>
      <c r="AC21" s="337"/>
    </row>
    <row r="22" spans="2:29" ht="42.75" customHeight="1">
      <c r="B22" s="252"/>
      <c r="C22" s="254"/>
      <c r="D22" s="254"/>
      <c r="E22" s="254"/>
      <c r="F22" s="226"/>
      <c r="G22" s="226"/>
      <c r="H22" s="226"/>
      <c r="I22" s="264"/>
      <c r="J22" s="264"/>
      <c r="K22" s="53" t="s">
        <v>51</v>
      </c>
      <c r="L22" s="53"/>
      <c r="M22" s="340"/>
      <c r="N22" s="306"/>
      <c r="O22" s="330"/>
      <c r="P22" s="226"/>
      <c r="Q22" s="264"/>
      <c r="R22" s="264"/>
      <c r="S22" s="264"/>
      <c r="T22" s="264"/>
      <c r="U22" s="264"/>
      <c r="V22" s="264"/>
      <c r="W22" s="265"/>
      <c r="X22" s="259"/>
      <c r="Y22" s="259"/>
      <c r="Z22" s="264"/>
      <c r="AA22" s="337"/>
      <c r="AB22" s="337"/>
      <c r="AC22" s="337"/>
    </row>
    <row r="23" spans="2:29" ht="42.75" customHeight="1">
      <c r="B23" s="252"/>
      <c r="C23" s="254"/>
      <c r="D23" s="254"/>
      <c r="E23" s="254"/>
      <c r="F23" s="226"/>
      <c r="G23" s="226"/>
      <c r="H23" s="226"/>
      <c r="I23" s="264"/>
      <c r="J23" s="264"/>
      <c r="K23" s="53" t="s">
        <v>52</v>
      </c>
      <c r="L23" s="53"/>
      <c r="M23" s="339" t="s">
        <v>53</v>
      </c>
      <c r="N23" s="55" t="s">
        <v>2</v>
      </c>
      <c r="O23" s="57"/>
      <c r="P23" s="226"/>
      <c r="Q23" s="264"/>
      <c r="R23" s="264"/>
      <c r="S23" s="264"/>
      <c r="T23" s="264"/>
      <c r="U23" s="264"/>
      <c r="V23" s="264"/>
      <c r="W23" s="265"/>
      <c r="X23" s="259"/>
      <c r="Y23" s="259"/>
      <c r="Z23" s="264"/>
      <c r="AA23" s="337"/>
      <c r="AB23" s="337"/>
      <c r="AC23" s="337"/>
    </row>
    <row r="24" spans="2:29" ht="42.75" customHeight="1">
      <c r="B24" s="253"/>
      <c r="C24" s="233"/>
      <c r="D24" s="233"/>
      <c r="E24" s="233"/>
      <c r="F24" s="227"/>
      <c r="G24" s="227"/>
      <c r="H24" s="227"/>
      <c r="I24" s="238"/>
      <c r="J24" s="238"/>
      <c r="K24" s="54" t="s">
        <v>54</v>
      </c>
      <c r="L24" s="54"/>
      <c r="M24" s="341"/>
      <c r="N24" s="56" t="s">
        <v>2</v>
      </c>
      <c r="O24" s="59"/>
      <c r="P24" s="227"/>
      <c r="Q24" s="238"/>
      <c r="R24" s="238"/>
      <c r="S24" s="238"/>
      <c r="T24" s="238"/>
      <c r="U24" s="238"/>
      <c r="V24" s="238"/>
      <c r="W24" s="240"/>
      <c r="X24" s="242"/>
      <c r="Y24" s="242"/>
      <c r="Z24" s="238"/>
      <c r="AA24" s="338"/>
      <c r="AB24" s="338"/>
      <c r="AC24" s="338"/>
    </row>
    <row r="25" spans="2:29" ht="102.75" customHeight="1">
      <c r="B25" s="255">
        <v>4</v>
      </c>
      <c r="C25" s="246" t="s">
        <v>28</v>
      </c>
      <c r="D25" s="246"/>
      <c r="E25" s="246"/>
      <c r="F25" s="224" t="str">
        <f>_xlfn.CONCAT(IF(ISBLANK(C25)=FALSE,"MPA, ",""),IF(ISBLANK(D25)=FALSE,"PSA, ",""),IF(ISBLANK(E25)=FALSE,"JP, ",""))</f>
        <v xml:space="preserve">MPA, </v>
      </c>
      <c r="G25" s="224" t="s">
        <v>55</v>
      </c>
      <c r="H25" s="225"/>
      <c r="I25" s="320" t="s">
        <v>56</v>
      </c>
      <c r="J25" s="237"/>
      <c r="K25" s="53" t="s">
        <v>57</v>
      </c>
      <c r="L25" s="53"/>
      <c r="M25" s="328" t="s">
        <v>58</v>
      </c>
      <c r="N25" s="328" t="s">
        <v>2</v>
      </c>
      <c r="O25" s="53"/>
      <c r="P25" s="224"/>
      <c r="Q25" s="261" t="s">
        <v>28</v>
      </c>
      <c r="R25" s="261"/>
      <c r="S25" s="261"/>
      <c r="T25" s="261" t="s">
        <v>28</v>
      </c>
      <c r="U25" s="261"/>
      <c r="V25" s="261" t="s">
        <v>28</v>
      </c>
      <c r="W25" s="326">
        <v>1</v>
      </c>
      <c r="X25" s="327">
        <v>1</v>
      </c>
      <c r="Y25" s="327">
        <v>2</v>
      </c>
      <c r="Z25" s="261" t="s">
        <v>47</v>
      </c>
      <c r="AA25" s="334"/>
      <c r="AB25" s="334"/>
      <c r="AC25" s="334"/>
    </row>
    <row r="26" spans="2:29" ht="42.75" customHeight="1">
      <c r="B26" s="255"/>
      <c r="C26" s="246"/>
      <c r="D26" s="246"/>
      <c r="E26" s="246"/>
      <c r="F26" s="224"/>
      <c r="G26" s="224"/>
      <c r="H26" s="226"/>
      <c r="I26" s="320"/>
      <c r="J26" s="264"/>
      <c r="K26" s="53" t="s">
        <v>59</v>
      </c>
      <c r="L26" s="53"/>
      <c r="M26" s="328"/>
      <c r="N26" s="328"/>
      <c r="O26" s="57"/>
      <c r="P26" s="224"/>
      <c r="Q26" s="261"/>
      <c r="R26" s="261"/>
      <c r="S26" s="261"/>
      <c r="T26" s="261"/>
      <c r="U26" s="261"/>
      <c r="V26" s="261"/>
      <c r="W26" s="326"/>
      <c r="X26" s="327"/>
      <c r="Y26" s="327"/>
      <c r="Z26" s="261"/>
      <c r="AA26" s="334"/>
      <c r="AB26" s="334"/>
      <c r="AC26" s="334"/>
    </row>
    <row r="27" spans="2:29" ht="42.75" customHeight="1">
      <c r="B27" s="255"/>
      <c r="C27" s="246"/>
      <c r="D27" s="246"/>
      <c r="E27" s="246"/>
      <c r="F27" s="224"/>
      <c r="G27" s="224"/>
      <c r="H27" s="226"/>
      <c r="I27" s="320"/>
      <c r="J27" s="264"/>
      <c r="K27" s="53" t="s">
        <v>32</v>
      </c>
      <c r="L27" s="53"/>
      <c r="M27" s="328"/>
      <c r="N27" s="328"/>
      <c r="O27" s="57"/>
      <c r="P27" s="224"/>
      <c r="Q27" s="261"/>
      <c r="R27" s="261"/>
      <c r="S27" s="261"/>
      <c r="T27" s="261"/>
      <c r="U27" s="261"/>
      <c r="V27" s="261"/>
      <c r="W27" s="326"/>
      <c r="X27" s="327"/>
      <c r="Y27" s="327"/>
      <c r="Z27" s="261"/>
      <c r="AA27" s="334"/>
      <c r="AB27" s="334"/>
      <c r="AC27" s="334"/>
    </row>
    <row r="28" spans="2:29" ht="42.75" customHeight="1">
      <c r="B28" s="255"/>
      <c r="C28" s="246"/>
      <c r="D28" s="246"/>
      <c r="E28" s="246"/>
      <c r="F28" s="224"/>
      <c r="G28" s="224"/>
      <c r="H28" s="226"/>
      <c r="I28" s="320"/>
      <c r="J28" s="264"/>
      <c r="K28" s="54" t="s">
        <v>37</v>
      </c>
      <c r="L28" s="54"/>
      <c r="M28" s="329"/>
      <c r="N28" s="329"/>
      <c r="O28" s="59"/>
      <c r="P28" s="224"/>
      <c r="Q28" s="261"/>
      <c r="R28" s="261"/>
      <c r="S28" s="261"/>
      <c r="T28" s="261"/>
      <c r="U28" s="261"/>
      <c r="V28" s="261"/>
      <c r="W28" s="326"/>
      <c r="X28" s="327"/>
      <c r="Y28" s="327"/>
      <c r="Z28" s="261"/>
      <c r="AA28" s="334"/>
      <c r="AB28" s="334"/>
      <c r="AC28" s="334"/>
    </row>
    <row r="29" spans="2:29" ht="46.5" customHeight="1">
      <c r="B29" s="248">
        <v>5</v>
      </c>
      <c r="C29" s="232" t="s">
        <v>28</v>
      </c>
      <c r="D29" s="232"/>
      <c r="E29" s="232"/>
      <c r="F29" s="256" t="str">
        <f>_xlfn.CONCAT(IF(ISBLANK(C29)=FALSE,"MPA, ",""),IF(ISBLANK(D29)=FALSE,"PSA, ",""),IF(ISBLANK(E29)=FALSE,"JP, ",""))</f>
        <v xml:space="preserve">MPA, </v>
      </c>
      <c r="G29" s="225" t="s">
        <v>61</v>
      </c>
      <c r="H29" s="225"/>
      <c r="I29" s="237" t="s">
        <v>62</v>
      </c>
      <c r="J29" s="237"/>
      <c r="K29" s="53" t="s">
        <v>63</v>
      </c>
      <c r="L29" s="53" t="s">
        <v>64</v>
      </c>
      <c r="M29" s="331" t="s">
        <v>330</v>
      </c>
      <c r="N29" s="328" t="s">
        <v>2</v>
      </c>
      <c r="O29" s="53"/>
      <c r="P29" s="225"/>
      <c r="Q29" s="237"/>
      <c r="R29" s="237" t="s">
        <v>28</v>
      </c>
      <c r="S29" s="237" t="s">
        <v>28</v>
      </c>
      <c r="T29" s="237" t="s">
        <v>28</v>
      </c>
      <c r="U29" s="237" t="s">
        <v>28</v>
      </c>
      <c r="V29" s="237"/>
      <c r="W29" s="239">
        <v>1</v>
      </c>
      <c r="X29" s="241">
        <v>3</v>
      </c>
      <c r="Y29" s="241">
        <v>3</v>
      </c>
      <c r="Z29" s="237" t="s">
        <v>65</v>
      </c>
      <c r="AA29" s="335"/>
      <c r="AB29" s="335"/>
      <c r="AC29" s="335"/>
    </row>
    <row r="30" spans="2:29" ht="42.75" customHeight="1">
      <c r="B30" s="249"/>
      <c r="C30" s="254"/>
      <c r="D30" s="254"/>
      <c r="E30" s="254"/>
      <c r="F30" s="257"/>
      <c r="G30" s="226"/>
      <c r="H30" s="226"/>
      <c r="I30" s="264"/>
      <c r="J30" s="264"/>
      <c r="K30" s="53" t="s">
        <v>66</v>
      </c>
      <c r="L30" s="53" t="s">
        <v>284</v>
      </c>
      <c r="M30" s="327"/>
      <c r="N30" s="328"/>
      <c r="O30" s="325"/>
      <c r="P30" s="226"/>
      <c r="Q30" s="264"/>
      <c r="R30" s="264"/>
      <c r="S30" s="264"/>
      <c r="T30" s="264"/>
      <c r="U30" s="264"/>
      <c r="V30" s="264"/>
      <c r="W30" s="265"/>
      <c r="X30" s="259"/>
      <c r="Y30" s="259"/>
      <c r="Z30" s="264"/>
      <c r="AA30" s="337"/>
      <c r="AB30" s="337"/>
      <c r="AC30" s="337"/>
    </row>
    <row r="31" spans="2:29" ht="42.75" customHeight="1">
      <c r="B31" s="249"/>
      <c r="C31" s="254"/>
      <c r="D31" s="254"/>
      <c r="E31" s="254"/>
      <c r="F31" s="257"/>
      <c r="G31" s="226"/>
      <c r="H31" s="226"/>
      <c r="I31" s="264"/>
      <c r="J31" s="264"/>
      <c r="K31" s="53" t="s">
        <v>32</v>
      </c>
      <c r="L31" s="53" t="s">
        <v>322</v>
      </c>
      <c r="M31" s="327"/>
      <c r="N31" s="328"/>
      <c r="O31" s="325"/>
      <c r="P31" s="226"/>
      <c r="Q31" s="264"/>
      <c r="R31" s="264"/>
      <c r="S31" s="264"/>
      <c r="T31" s="264"/>
      <c r="U31" s="264"/>
      <c r="V31" s="264"/>
      <c r="W31" s="265"/>
      <c r="X31" s="259"/>
      <c r="Y31" s="259"/>
      <c r="Z31" s="264"/>
      <c r="AA31" s="337"/>
      <c r="AB31" s="337"/>
      <c r="AC31" s="337"/>
    </row>
    <row r="32" spans="2:29" ht="42.75" customHeight="1">
      <c r="B32" s="249"/>
      <c r="C32" s="254"/>
      <c r="D32" s="254"/>
      <c r="E32" s="254"/>
      <c r="F32" s="257"/>
      <c r="G32" s="226"/>
      <c r="H32" s="226"/>
      <c r="I32" s="264"/>
      <c r="J32" s="264"/>
      <c r="K32" s="53"/>
      <c r="L32" s="53"/>
      <c r="M32" s="327"/>
      <c r="N32" s="328"/>
      <c r="O32" s="325"/>
      <c r="P32" s="226"/>
      <c r="Q32" s="264"/>
      <c r="R32" s="264"/>
      <c r="S32" s="264"/>
      <c r="T32" s="264"/>
      <c r="U32" s="264"/>
      <c r="V32" s="264"/>
      <c r="W32" s="265"/>
      <c r="X32" s="259"/>
      <c r="Y32" s="259"/>
      <c r="Z32" s="264"/>
      <c r="AA32" s="337"/>
      <c r="AB32" s="337"/>
      <c r="AC32" s="337"/>
    </row>
    <row r="33" spans="2:29" ht="42.75" customHeight="1">
      <c r="B33" s="249"/>
      <c r="C33" s="254"/>
      <c r="D33" s="254"/>
      <c r="E33" s="254"/>
      <c r="F33" s="257"/>
      <c r="G33" s="226"/>
      <c r="H33" s="226"/>
      <c r="I33" s="264"/>
      <c r="J33" s="264"/>
      <c r="K33" s="53" t="s">
        <v>324</v>
      </c>
      <c r="L33" s="53" t="s">
        <v>323</v>
      </c>
      <c r="M33" s="327"/>
      <c r="N33" s="328"/>
      <c r="O33" s="325"/>
      <c r="P33" s="226"/>
      <c r="Q33" s="264"/>
      <c r="R33" s="264"/>
      <c r="S33" s="264"/>
      <c r="T33" s="264"/>
      <c r="U33" s="264"/>
      <c r="V33" s="264"/>
      <c r="W33" s="265"/>
      <c r="X33" s="259"/>
      <c r="Y33" s="259"/>
      <c r="Z33" s="264"/>
      <c r="AA33" s="337"/>
      <c r="AB33" s="337"/>
      <c r="AC33" s="337"/>
    </row>
    <row r="34" spans="2:29" ht="42.75" customHeight="1">
      <c r="B34" s="249"/>
      <c r="C34" s="254"/>
      <c r="D34" s="254"/>
      <c r="E34" s="254"/>
      <c r="F34" s="257"/>
      <c r="G34" s="226"/>
      <c r="H34" s="226"/>
      <c r="I34" s="264"/>
      <c r="J34" s="264"/>
      <c r="K34" s="53" t="s">
        <v>325</v>
      </c>
      <c r="L34" s="53" t="s">
        <v>326</v>
      </c>
      <c r="M34" s="342" t="s">
        <v>46</v>
      </c>
      <c r="N34" s="328"/>
      <c r="O34" s="57"/>
      <c r="P34" s="226"/>
      <c r="Q34" s="264"/>
      <c r="R34" s="264"/>
      <c r="S34" s="264"/>
      <c r="T34" s="264"/>
      <c r="U34" s="264"/>
      <c r="V34" s="264"/>
      <c r="W34" s="265"/>
      <c r="X34" s="259"/>
      <c r="Y34" s="259"/>
      <c r="Z34" s="264"/>
      <c r="AA34" s="337"/>
      <c r="AB34" s="337"/>
      <c r="AC34" s="337"/>
    </row>
    <row r="35" spans="2:29" ht="42.75" customHeight="1">
      <c r="B35" s="250"/>
      <c r="C35" s="233"/>
      <c r="D35" s="233"/>
      <c r="E35" s="233"/>
      <c r="F35" s="258"/>
      <c r="G35" s="227"/>
      <c r="H35" s="227"/>
      <c r="I35" s="238"/>
      <c r="J35" s="238"/>
      <c r="K35" s="54" t="s">
        <v>37</v>
      </c>
      <c r="L35" s="54" t="s">
        <v>69</v>
      </c>
      <c r="M35" s="343"/>
      <c r="N35" s="329"/>
      <c r="O35" s="59"/>
      <c r="P35" s="227"/>
      <c r="Q35" s="238"/>
      <c r="R35" s="238"/>
      <c r="S35" s="238"/>
      <c r="T35" s="238"/>
      <c r="U35" s="238"/>
      <c r="V35" s="238"/>
      <c r="W35" s="240"/>
      <c r="X35" s="242"/>
      <c r="Y35" s="242"/>
      <c r="Z35" s="238"/>
      <c r="AA35" s="338"/>
      <c r="AB35" s="338"/>
      <c r="AC35" s="338"/>
    </row>
    <row r="36" spans="2:29" ht="87.75" customHeight="1">
      <c r="B36" s="251">
        <v>6</v>
      </c>
      <c r="C36" s="246" t="s">
        <v>28</v>
      </c>
      <c r="D36" s="246"/>
      <c r="E36" s="246"/>
      <c r="F36" s="224" t="str">
        <f>_xlfn.CONCAT(IF(ISBLANK(C36)=FALSE,"MPA, ",""),IF(ISBLANK(D36)=FALSE,"PSA, ",""),IF(ISBLANK(E36)=FALSE,"JP, ",""))</f>
        <v xml:space="preserve">MPA, </v>
      </c>
      <c r="G36" s="344" t="s">
        <v>70</v>
      </c>
      <c r="H36" s="225"/>
      <c r="I36" s="320" t="s">
        <v>71</v>
      </c>
      <c r="J36" s="261"/>
      <c r="K36" s="53" t="s">
        <v>72</v>
      </c>
      <c r="L36" s="53"/>
      <c r="M36" s="234" t="s">
        <v>74</v>
      </c>
      <c r="N36" s="306" t="s">
        <v>2</v>
      </c>
      <c r="O36" s="57"/>
      <c r="P36" s="224"/>
      <c r="Q36" s="261" t="s">
        <v>28</v>
      </c>
      <c r="R36" s="261"/>
      <c r="S36" s="261"/>
      <c r="T36" s="261" t="s">
        <v>28</v>
      </c>
      <c r="U36" s="261"/>
      <c r="V36" s="261" t="s">
        <v>28</v>
      </c>
      <c r="W36" s="336">
        <v>3</v>
      </c>
      <c r="X36" s="327">
        <v>1</v>
      </c>
      <c r="Y36" s="327">
        <v>2</v>
      </c>
      <c r="Z36" s="261" t="s">
        <v>47</v>
      </c>
      <c r="AA36" s="334"/>
      <c r="AB36" s="334"/>
      <c r="AC36" s="335"/>
    </row>
    <row r="37" spans="2:29" ht="87.75" customHeight="1">
      <c r="B37" s="252"/>
      <c r="C37" s="246"/>
      <c r="D37" s="246"/>
      <c r="E37" s="246"/>
      <c r="F37" s="224"/>
      <c r="G37" s="344"/>
      <c r="H37" s="226"/>
      <c r="I37" s="320"/>
      <c r="J37" s="261"/>
      <c r="K37" s="53" t="s">
        <v>66</v>
      </c>
      <c r="L37" s="53"/>
      <c r="M37" s="235"/>
      <c r="N37" s="306"/>
      <c r="O37" s="57"/>
      <c r="P37" s="224"/>
      <c r="Q37" s="261"/>
      <c r="R37" s="261"/>
      <c r="S37" s="261"/>
      <c r="T37" s="261"/>
      <c r="U37" s="261"/>
      <c r="V37" s="261"/>
      <c r="W37" s="336"/>
      <c r="X37" s="327"/>
      <c r="Y37" s="327"/>
      <c r="Z37" s="261"/>
      <c r="AA37" s="334"/>
      <c r="AB37" s="334"/>
      <c r="AC37" s="337"/>
    </row>
    <row r="38" spans="2:29" ht="42.75" customHeight="1">
      <c r="B38" s="252"/>
      <c r="C38" s="246"/>
      <c r="D38" s="246"/>
      <c r="E38" s="246"/>
      <c r="F38" s="224"/>
      <c r="G38" s="344"/>
      <c r="H38" s="226"/>
      <c r="I38" s="320"/>
      <c r="J38" s="261"/>
      <c r="K38" s="53" t="s">
        <v>76</v>
      </c>
      <c r="L38" s="53"/>
      <c r="M38" s="235"/>
      <c r="N38" s="306"/>
      <c r="O38" s="57"/>
      <c r="P38" s="224"/>
      <c r="Q38" s="261"/>
      <c r="R38" s="261"/>
      <c r="S38" s="261"/>
      <c r="T38" s="261"/>
      <c r="U38" s="261"/>
      <c r="V38" s="261"/>
      <c r="W38" s="336"/>
      <c r="X38" s="327"/>
      <c r="Y38" s="327"/>
      <c r="Z38" s="261"/>
      <c r="AA38" s="334"/>
      <c r="AB38" s="334"/>
      <c r="AC38" s="337"/>
    </row>
    <row r="39" spans="2:29" ht="82.5" customHeight="1">
      <c r="B39" s="252"/>
      <c r="C39" s="232"/>
      <c r="D39" s="232"/>
      <c r="E39" s="232"/>
      <c r="F39" s="225"/>
      <c r="G39" s="345"/>
      <c r="H39" s="227"/>
      <c r="I39" s="321"/>
      <c r="J39" s="261"/>
      <c r="K39" s="54" t="s">
        <v>37</v>
      </c>
      <c r="L39" s="54"/>
      <c r="M39" s="235"/>
      <c r="N39" s="234"/>
      <c r="O39" s="59"/>
      <c r="P39" s="225"/>
      <c r="Q39" s="237"/>
      <c r="R39" s="237"/>
      <c r="S39" s="237"/>
      <c r="T39" s="237"/>
      <c r="U39" s="237"/>
      <c r="V39" s="237"/>
      <c r="W39" s="322"/>
      <c r="X39" s="241"/>
      <c r="Y39" s="241"/>
      <c r="Z39" s="237"/>
      <c r="AA39" s="335"/>
      <c r="AB39" s="335"/>
      <c r="AC39" s="338"/>
    </row>
    <row r="40" spans="2:29" ht="81" customHeight="1">
      <c r="B40" s="248">
        <v>7</v>
      </c>
      <c r="C40" s="232" t="s">
        <v>28</v>
      </c>
      <c r="D40" s="232" t="s">
        <v>28</v>
      </c>
      <c r="E40" s="232" t="s">
        <v>28</v>
      </c>
      <c r="F40" s="225" t="str">
        <f>_xlfn.CONCAT(IF(ISBLANK(C40)=FALSE,"MPA, ",""),IF(ISBLANK(D40)=FALSE,"PSA, ",""),IF(ISBLANK(E40)=FALSE,"JP, ",""))</f>
        <v xml:space="preserve">MPA, PSA, JP, </v>
      </c>
      <c r="G40" s="225" t="s">
        <v>77</v>
      </c>
      <c r="H40" s="225"/>
      <c r="I40" s="237" t="s">
        <v>78</v>
      </c>
      <c r="J40" s="237"/>
      <c r="K40" s="53" t="s">
        <v>72</v>
      </c>
      <c r="L40" s="80" t="s">
        <v>73</v>
      </c>
      <c r="M40" s="55" t="s">
        <v>79</v>
      </c>
      <c r="N40" s="306" t="s">
        <v>2</v>
      </c>
      <c r="O40" s="57"/>
      <c r="P40" s="225"/>
      <c r="Q40" s="237" t="s">
        <v>28</v>
      </c>
      <c r="R40" s="237"/>
      <c r="S40" s="237"/>
      <c r="T40" s="237" t="s">
        <v>28</v>
      </c>
      <c r="U40" s="237"/>
      <c r="V40" s="237" t="s">
        <v>28</v>
      </c>
      <c r="W40" s="322">
        <v>3</v>
      </c>
      <c r="X40" s="237">
        <v>3</v>
      </c>
      <c r="Y40" s="237">
        <v>3</v>
      </c>
      <c r="Z40" s="237" t="s">
        <v>31</v>
      </c>
      <c r="AA40" s="335"/>
      <c r="AB40" s="335"/>
      <c r="AC40" s="335"/>
    </row>
    <row r="41" spans="2:29" ht="108.75" customHeight="1">
      <c r="B41" s="249"/>
      <c r="C41" s="254"/>
      <c r="D41" s="254"/>
      <c r="E41" s="254"/>
      <c r="F41" s="226"/>
      <c r="G41" s="226"/>
      <c r="H41" s="226"/>
      <c r="I41" s="264"/>
      <c r="J41" s="264"/>
      <c r="K41" s="53" t="s">
        <v>66</v>
      </c>
      <c r="L41" s="80" t="s">
        <v>75</v>
      </c>
      <c r="M41" s="234" t="s">
        <v>276</v>
      </c>
      <c r="N41" s="306"/>
      <c r="O41" s="57"/>
      <c r="P41" s="226"/>
      <c r="Q41" s="264"/>
      <c r="R41" s="264"/>
      <c r="S41" s="264"/>
      <c r="T41" s="264"/>
      <c r="U41" s="264"/>
      <c r="V41" s="264"/>
      <c r="W41" s="323"/>
      <c r="X41" s="264"/>
      <c r="Y41" s="264"/>
      <c r="Z41" s="264"/>
      <c r="AA41" s="337"/>
      <c r="AB41" s="337"/>
      <c r="AC41" s="337"/>
    </row>
    <row r="42" spans="2:29" ht="19">
      <c r="B42" s="249"/>
      <c r="C42" s="254"/>
      <c r="D42" s="254"/>
      <c r="E42" s="254"/>
      <c r="F42" s="226"/>
      <c r="G42" s="226"/>
      <c r="H42" s="226"/>
      <c r="I42" s="264"/>
      <c r="J42" s="264"/>
      <c r="K42" s="53" t="s">
        <v>331</v>
      </c>
      <c r="L42" s="53" t="s">
        <v>332</v>
      </c>
      <c r="M42" s="235"/>
      <c r="N42" s="306"/>
      <c r="O42" s="57"/>
      <c r="P42" s="226"/>
      <c r="Q42" s="264"/>
      <c r="R42" s="264"/>
      <c r="S42" s="264"/>
      <c r="T42" s="264"/>
      <c r="U42" s="264"/>
      <c r="V42" s="264"/>
      <c r="W42" s="323"/>
      <c r="X42" s="264"/>
      <c r="Y42" s="264"/>
      <c r="Z42" s="264"/>
      <c r="AA42" s="337"/>
      <c r="AB42" s="337"/>
      <c r="AC42" s="337"/>
    </row>
    <row r="43" spans="2:29" ht="57">
      <c r="B43" s="249"/>
      <c r="C43" s="254"/>
      <c r="D43" s="254"/>
      <c r="E43" s="254"/>
      <c r="F43" s="226"/>
      <c r="G43" s="226"/>
      <c r="H43" s="226"/>
      <c r="I43" s="264"/>
      <c r="J43" s="264"/>
      <c r="K43" s="53" t="s">
        <v>37</v>
      </c>
      <c r="L43" s="80" t="s">
        <v>80</v>
      </c>
      <c r="M43" s="236"/>
      <c r="N43" s="306"/>
      <c r="O43" s="57"/>
      <c r="P43" s="226"/>
      <c r="Q43" s="264"/>
      <c r="R43" s="264"/>
      <c r="S43" s="264"/>
      <c r="T43" s="264"/>
      <c r="U43" s="264"/>
      <c r="V43" s="264"/>
      <c r="W43" s="323"/>
      <c r="X43" s="264"/>
      <c r="Y43" s="264"/>
      <c r="Z43" s="264"/>
      <c r="AA43" s="337"/>
      <c r="AB43" s="337"/>
      <c r="AC43" s="337"/>
    </row>
    <row r="44" spans="2:29" ht="45" customHeight="1">
      <c r="B44" s="249"/>
      <c r="C44" s="254"/>
      <c r="D44" s="254"/>
      <c r="E44" s="254"/>
      <c r="F44" s="226"/>
      <c r="G44" s="226"/>
      <c r="H44" s="226"/>
      <c r="I44" s="264"/>
      <c r="J44" s="264"/>
      <c r="K44" s="53"/>
      <c r="L44" s="53"/>
      <c r="M44" s="55"/>
      <c r="N44" s="306" t="s">
        <v>42</v>
      </c>
      <c r="O44" s="57"/>
      <c r="P44" s="226"/>
      <c r="Q44" s="264"/>
      <c r="R44" s="264"/>
      <c r="S44" s="264"/>
      <c r="T44" s="264"/>
      <c r="U44" s="264"/>
      <c r="V44" s="264"/>
      <c r="W44" s="323"/>
      <c r="X44" s="264"/>
      <c r="Y44" s="264"/>
      <c r="Z44" s="264"/>
      <c r="AA44" s="337"/>
      <c r="AB44" s="337"/>
      <c r="AC44" s="337"/>
    </row>
    <row r="45" spans="2:29" ht="45.75" customHeight="1">
      <c r="B45" s="249"/>
      <c r="C45" s="254"/>
      <c r="D45" s="254"/>
      <c r="E45" s="254"/>
      <c r="F45" s="226"/>
      <c r="G45" s="226"/>
      <c r="H45" s="226"/>
      <c r="I45" s="264"/>
      <c r="J45" s="264"/>
      <c r="K45" s="53" t="s">
        <v>328</v>
      </c>
      <c r="L45" s="53" t="s">
        <v>327</v>
      </c>
      <c r="M45" s="306" t="s">
        <v>329</v>
      </c>
      <c r="N45" s="306"/>
      <c r="O45" s="57"/>
      <c r="P45" s="226"/>
      <c r="Q45" s="264"/>
      <c r="R45" s="264"/>
      <c r="S45" s="264"/>
      <c r="T45" s="264"/>
      <c r="U45" s="264"/>
      <c r="V45" s="264"/>
      <c r="W45" s="323"/>
      <c r="X45" s="264"/>
      <c r="Y45" s="264"/>
      <c r="Z45" s="264"/>
      <c r="AA45" s="337"/>
      <c r="AB45" s="337"/>
      <c r="AC45" s="337"/>
    </row>
    <row r="46" spans="2:29" ht="36" customHeight="1">
      <c r="B46" s="250"/>
      <c r="C46" s="233"/>
      <c r="D46" s="233"/>
      <c r="E46" s="233"/>
      <c r="F46" s="227"/>
      <c r="G46" s="227"/>
      <c r="H46" s="227"/>
      <c r="I46" s="238"/>
      <c r="J46" s="238"/>
      <c r="K46" s="54" t="s">
        <v>37</v>
      </c>
      <c r="L46" s="81" t="s">
        <v>81</v>
      </c>
      <c r="M46" s="234"/>
      <c r="N46" s="234"/>
      <c r="O46" s="59"/>
      <c r="P46" s="227"/>
      <c r="Q46" s="238"/>
      <c r="R46" s="238"/>
      <c r="S46" s="238"/>
      <c r="T46" s="238"/>
      <c r="U46" s="238"/>
      <c r="V46" s="238"/>
      <c r="W46" s="324"/>
      <c r="X46" s="238"/>
      <c r="Y46" s="238"/>
      <c r="Z46" s="238"/>
      <c r="AA46" s="338"/>
      <c r="AB46" s="338"/>
      <c r="AC46" s="338"/>
    </row>
    <row r="47" spans="2:29" ht="38.25" customHeight="1">
      <c r="B47" s="255">
        <v>8</v>
      </c>
      <c r="C47" s="246" t="s">
        <v>28</v>
      </c>
      <c r="D47" s="246"/>
      <c r="E47" s="246"/>
      <c r="F47" s="224" t="str">
        <f>_xlfn.CONCAT(IF(ISBLANK(C47)=FALSE,"MPA, ",""),IF(ISBLANK(D47)=FALSE,"PSA, ",""),IF(ISBLANK(E47)=FALSE,"JP, ",""))</f>
        <v xml:space="preserve">MPA, </v>
      </c>
      <c r="G47" s="224" t="s">
        <v>82</v>
      </c>
      <c r="H47" s="224"/>
      <c r="I47" s="261" t="s">
        <v>83</v>
      </c>
      <c r="J47" s="237"/>
      <c r="K47" s="53" t="s">
        <v>57</v>
      </c>
      <c r="L47" s="53" t="s">
        <v>64</v>
      </c>
      <c r="M47" s="306" t="s">
        <v>84</v>
      </c>
      <c r="N47" s="306" t="s">
        <v>2</v>
      </c>
      <c r="O47" s="325"/>
      <c r="P47" s="225"/>
      <c r="Q47" s="237"/>
      <c r="R47" s="237"/>
      <c r="S47" s="237"/>
      <c r="T47" s="237" t="s">
        <v>28</v>
      </c>
      <c r="U47" s="237" t="s">
        <v>28</v>
      </c>
      <c r="V47" s="237" t="s">
        <v>28</v>
      </c>
      <c r="W47" s="350">
        <v>3</v>
      </c>
      <c r="X47" s="241">
        <v>1</v>
      </c>
      <c r="Y47" s="241">
        <v>1</v>
      </c>
      <c r="Z47" s="237" t="s">
        <v>47</v>
      </c>
      <c r="AA47" s="335"/>
      <c r="AB47" s="335"/>
      <c r="AC47" s="335"/>
    </row>
    <row r="48" spans="2:29" ht="42.75" customHeight="1">
      <c r="B48" s="255"/>
      <c r="C48" s="246"/>
      <c r="D48" s="246"/>
      <c r="E48" s="246"/>
      <c r="F48" s="224"/>
      <c r="G48" s="224"/>
      <c r="H48" s="224"/>
      <c r="I48" s="261"/>
      <c r="J48" s="264"/>
      <c r="K48" s="53" t="s">
        <v>66</v>
      </c>
      <c r="L48" s="53" t="s">
        <v>67</v>
      </c>
      <c r="M48" s="306"/>
      <c r="N48" s="306"/>
      <c r="O48" s="325"/>
      <c r="P48" s="226"/>
      <c r="Q48" s="264"/>
      <c r="R48" s="264"/>
      <c r="S48" s="264"/>
      <c r="T48" s="264"/>
      <c r="U48" s="264"/>
      <c r="V48" s="264"/>
      <c r="W48" s="351"/>
      <c r="X48" s="259"/>
      <c r="Y48" s="259"/>
      <c r="Z48" s="264"/>
      <c r="AA48" s="337"/>
      <c r="AB48" s="337"/>
      <c r="AC48" s="337"/>
    </row>
    <row r="49" spans="2:29" ht="42.75" customHeight="1">
      <c r="B49" s="255"/>
      <c r="C49" s="246"/>
      <c r="D49" s="246"/>
      <c r="E49" s="246"/>
      <c r="F49" s="224"/>
      <c r="G49" s="224"/>
      <c r="H49" s="224"/>
      <c r="I49" s="261"/>
      <c r="J49" s="264"/>
      <c r="K49" s="53" t="s">
        <v>32</v>
      </c>
      <c r="L49" s="53" t="s">
        <v>85</v>
      </c>
      <c r="M49" s="306"/>
      <c r="N49" s="306"/>
      <c r="O49" s="325"/>
      <c r="P49" s="226"/>
      <c r="Q49" s="264"/>
      <c r="R49" s="264"/>
      <c r="S49" s="264"/>
      <c r="T49" s="264"/>
      <c r="U49" s="264"/>
      <c r="V49" s="264"/>
      <c r="W49" s="351"/>
      <c r="X49" s="259"/>
      <c r="Y49" s="259"/>
      <c r="Z49" s="264"/>
      <c r="AA49" s="337"/>
      <c r="AB49" s="337"/>
      <c r="AC49" s="337"/>
    </row>
    <row r="50" spans="2:29" ht="42.75" customHeight="1">
      <c r="B50" s="255"/>
      <c r="C50" s="246"/>
      <c r="D50" s="246"/>
      <c r="E50" s="246"/>
      <c r="F50" s="224"/>
      <c r="G50" s="224"/>
      <c r="H50" s="224"/>
      <c r="I50" s="261"/>
      <c r="J50" s="264"/>
      <c r="K50" s="53" t="s">
        <v>33</v>
      </c>
      <c r="L50" s="53" t="s">
        <v>68</v>
      </c>
      <c r="M50" s="306"/>
      <c r="N50" s="306"/>
      <c r="O50" s="325"/>
      <c r="P50" s="226"/>
      <c r="Q50" s="264"/>
      <c r="R50" s="264"/>
      <c r="S50" s="264"/>
      <c r="T50" s="264"/>
      <c r="U50" s="264"/>
      <c r="V50" s="264"/>
      <c r="W50" s="351"/>
      <c r="X50" s="259"/>
      <c r="Y50" s="259"/>
      <c r="Z50" s="264"/>
      <c r="AA50" s="337"/>
      <c r="AB50" s="337"/>
      <c r="AC50" s="337"/>
    </row>
    <row r="51" spans="2:29" ht="42.75" customHeight="1">
      <c r="B51" s="255"/>
      <c r="C51" s="246"/>
      <c r="D51" s="246"/>
      <c r="E51" s="246"/>
      <c r="F51" s="224"/>
      <c r="G51" s="224"/>
      <c r="H51" s="224"/>
      <c r="I51" s="261"/>
      <c r="J51" s="264"/>
      <c r="K51" s="53" t="s">
        <v>36</v>
      </c>
      <c r="L51" s="53" t="s">
        <v>86</v>
      </c>
      <c r="M51" s="55" t="s">
        <v>87</v>
      </c>
      <c r="N51" s="306"/>
      <c r="O51" s="325"/>
      <c r="P51" s="226"/>
      <c r="Q51" s="264"/>
      <c r="R51" s="264"/>
      <c r="S51" s="264"/>
      <c r="T51" s="264"/>
      <c r="U51" s="264"/>
      <c r="V51" s="264"/>
      <c r="W51" s="351"/>
      <c r="X51" s="259"/>
      <c r="Y51" s="259"/>
      <c r="Z51" s="264"/>
      <c r="AA51" s="337"/>
      <c r="AB51" s="337"/>
      <c r="AC51" s="337"/>
    </row>
    <row r="52" spans="2:29" ht="42.75" customHeight="1">
      <c r="B52" s="255"/>
      <c r="C52" s="246"/>
      <c r="D52" s="246"/>
      <c r="E52" s="246"/>
      <c r="F52" s="224"/>
      <c r="G52" s="224"/>
      <c r="H52" s="224"/>
      <c r="I52" s="261"/>
      <c r="J52" s="264"/>
      <c r="K52" s="53" t="s">
        <v>59</v>
      </c>
      <c r="L52" s="53" t="s">
        <v>88</v>
      </c>
      <c r="M52" s="55" t="s">
        <v>89</v>
      </c>
      <c r="N52" s="306"/>
      <c r="O52" s="325"/>
      <c r="P52" s="226"/>
      <c r="Q52" s="264"/>
      <c r="R52" s="264"/>
      <c r="S52" s="264"/>
      <c r="T52" s="264"/>
      <c r="U52" s="264"/>
      <c r="V52" s="264"/>
      <c r="W52" s="351"/>
      <c r="X52" s="259"/>
      <c r="Y52" s="259"/>
      <c r="Z52" s="264"/>
      <c r="AA52" s="337"/>
      <c r="AB52" s="337"/>
      <c r="AC52" s="337"/>
    </row>
    <row r="53" spans="2:29" ht="42.75" customHeight="1">
      <c r="B53" s="255"/>
      <c r="C53" s="246"/>
      <c r="D53" s="246"/>
      <c r="E53" s="246"/>
      <c r="F53" s="224"/>
      <c r="G53" s="224"/>
      <c r="H53" s="224"/>
      <c r="I53" s="261"/>
      <c r="J53" s="264"/>
      <c r="K53" s="53" t="s">
        <v>35</v>
      </c>
      <c r="L53" s="53" t="s">
        <v>90</v>
      </c>
      <c r="M53" s="306" t="s">
        <v>84</v>
      </c>
      <c r="N53" s="306"/>
      <c r="O53" s="325"/>
      <c r="P53" s="226"/>
      <c r="Q53" s="264"/>
      <c r="R53" s="264"/>
      <c r="S53" s="264"/>
      <c r="T53" s="264"/>
      <c r="U53" s="264"/>
      <c r="V53" s="264"/>
      <c r="W53" s="351"/>
      <c r="X53" s="259"/>
      <c r="Y53" s="259"/>
      <c r="Z53" s="264"/>
      <c r="AA53" s="337"/>
      <c r="AB53" s="337"/>
      <c r="AC53" s="337"/>
    </row>
    <row r="54" spans="2:29" ht="42.75" customHeight="1">
      <c r="B54" s="255"/>
      <c r="C54" s="246"/>
      <c r="D54" s="246"/>
      <c r="E54" s="246"/>
      <c r="F54" s="224"/>
      <c r="G54" s="224"/>
      <c r="H54" s="224"/>
      <c r="I54" s="261"/>
      <c r="J54" s="264"/>
      <c r="K54" s="53" t="s">
        <v>52</v>
      </c>
      <c r="L54" s="53" t="s">
        <v>91</v>
      </c>
      <c r="M54" s="306"/>
      <c r="N54" s="306"/>
      <c r="O54" s="325"/>
      <c r="P54" s="226"/>
      <c r="Q54" s="264"/>
      <c r="R54" s="264"/>
      <c r="S54" s="264"/>
      <c r="T54" s="264"/>
      <c r="U54" s="264"/>
      <c r="V54" s="264"/>
      <c r="W54" s="351"/>
      <c r="X54" s="259"/>
      <c r="Y54" s="259"/>
      <c r="Z54" s="264"/>
      <c r="AA54" s="337"/>
      <c r="AB54" s="337"/>
      <c r="AC54" s="337"/>
    </row>
    <row r="55" spans="2:29" ht="42.75" customHeight="1">
      <c r="B55" s="255"/>
      <c r="C55" s="246"/>
      <c r="D55" s="246"/>
      <c r="E55" s="246"/>
      <c r="F55" s="224"/>
      <c r="G55" s="224"/>
      <c r="H55" s="224"/>
      <c r="I55" s="261"/>
      <c r="J55" s="264"/>
      <c r="K55" s="53" t="s">
        <v>54</v>
      </c>
      <c r="L55" s="53" t="s">
        <v>92</v>
      </c>
      <c r="M55" s="306"/>
      <c r="N55" s="306"/>
      <c r="O55" s="57"/>
      <c r="P55" s="226"/>
      <c r="Q55" s="264"/>
      <c r="R55" s="264"/>
      <c r="S55" s="264"/>
      <c r="T55" s="264"/>
      <c r="U55" s="264"/>
      <c r="V55" s="264"/>
      <c r="W55" s="351"/>
      <c r="X55" s="259"/>
      <c r="Y55" s="259"/>
      <c r="Z55" s="264"/>
      <c r="AA55" s="337"/>
      <c r="AB55" s="337"/>
      <c r="AC55" s="337"/>
    </row>
    <row r="56" spans="2:29" ht="19">
      <c r="B56" s="255"/>
      <c r="C56" s="246"/>
      <c r="D56" s="246"/>
      <c r="E56" s="246"/>
      <c r="F56" s="224"/>
      <c r="G56" s="224"/>
      <c r="H56" s="224"/>
      <c r="I56" s="261"/>
      <c r="J56" s="264"/>
      <c r="K56" s="53" t="s">
        <v>37</v>
      </c>
      <c r="L56" s="53" t="s">
        <v>93</v>
      </c>
      <c r="M56" s="306"/>
      <c r="N56" s="306"/>
      <c r="O56" s="57"/>
      <c r="P56" s="226"/>
      <c r="Q56" s="264"/>
      <c r="R56" s="264"/>
      <c r="S56" s="264"/>
      <c r="T56" s="264"/>
      <c r="U56" s="264"/>
      <c r="V56" s="264"/>
      <c r="W56" s="351"/>
      <c r="X56" s="259"/>
      <c r="Y56" s="259"/>
      <c r="Z56" s="264"/>
      <c r="AA56" s="337"/>
      <c r="AB56" s="337"/>
      <c r="AC56" s="337"/>
    </row>
    <row r="57" spans="2:29" s="27" customFormat="1" ht="221.25" customHeight="1">
      <c r="B57" s="278">
        <v>9</v>
      </c>
      <c r="C57" s="280"/>
      <c r="D57" s="280" t="s">
        <v>28</v>
      </c>
      <c r="E57" s="280"/>
      <c r="F57" s="282" t="str">
        <f>_xlfn.CONCAT(IF(ISBLANK(C57)=FALSE,"MPA, ",""),IF(ISBLANK(D57)=FALSE,"PSA, ",""),IF(ISBLANK(E57)=FALSE,"JP, ",""))</f>
        <v xml:space="preserve">PSA, </v>
      </c>
      <c r="G57" s="282" t="s">
        <v>94</v>
      </c>
      <c r="H57" s="282"/>
      <c r="I57" s="237" t="s">
        <v>95</v>
      </c>
      <c r="J57" s="237"/>
      <c r="K57" s="60" t="s">
        <v>96</v>
      </c>
      <c r="L57" s="50" t="s">
        <v>97</v>
      </c>
      <c r="M57" s="37" t="s">
        <v>98</v>
      </c>
      <c r="N57" s="37" t="s">
        <v>99</v>
      </c>
      <c r="O57" s="61"/>
      <c r="P57" s="282"/>
      <c r="Q57" s="237" t="s">
        <v>28</v>
      </c>
      <c r="R57" s="237"/>
      <c r="S57" s="237"/>
      <c r="T57" s="237" t="s">
        <v>28</v>
      </c>
      <c r="U57" s="237"/>
      <c r="V57" s="237"/>
      <c r="W57" s="348">
        <v>2</v>
      </c>
      <c r="X57" s="241">
        <v>1</v>
      </c>
      <c r="Y57" s="241" t="s">
        <v>100</v>
      </c>
      <c r="Z57" s="237" t="s">
        <v>47</v>
      </c>
      <c r="AA57" s="335"/>
      <c r="AB57" s="335"/>
      <c r="AC57" s="335"/>
    </row>
    <row r="58" spans="2:29" ht="42.75" customHeight="1">
      <c r="B58" s="279"/>
      <c r="C58" s="281"/>
      <c r="D58" s="281"/>
      <c r="E58" s="281"/>
      <c r="F58" s="283"/>
      <c r="G58" s="283"/>
      <c r="H58" s="283"/>
      <c r="I58" s="264"/>
      <c r="J58" s="264"/>
      <c r="K58" s="53" t="s">
        <v>29</v>
      </c>
      <c r="L58" s="53" t="s">
        <v>101</v>
      </c>
      <c r="M58" s="55" t="s">
        <v>102</v>
      </c>
      <c r="N58" s="55" t="s">
        <v>3</v>
      </c>
      <c r="O58" s="57"/>
      <c r="P58" s="283"/>
      <c r="Q58" s="264"/>
      <c r="R58" s="264"/>
      <c r="S58" s="264"/>
      <c r="T58" s="264"/>
      <c r="U58" s="264"/>
      <c r="V58" s="264"/>
      <c r="W58" s="349"/>
      <c r="X58" s="259"/>
      <c r="Y58" s="259"/>
      <c r="Z58" s="264"/>
      <c r="AA58" s="337"/>
      <c r="AB58" s="337"/>
      <c r="AC58" s="337"/>
    </row>
    <row r="59" spans="2:29" ht="42.75" customHeight="1">
      <c r="B59" s="279"/>
      <c r="C59" s="281"/>
      <c r="D59" s="281"/>
      <c r="E59" s="281"/>
      <c r="F59" s="283"/>
      <c r="G59" s="283"/>
      <c r="H59" s="283"/>
      <c r="I59" s="264"/>
      <c r="J59" s="264"/>
      <c r="K59" s="53" t="s">
        <v>37</v>
      </c>
      <c r="L59" s="53" t="s">
        <v>81</v>
      </c>
      <c r="M59" s="55" t="s">
        <v>102</v>
      </c>
      <c r="N59" s="55" t="s">
        <v>3</v>
      </c>
      <c r="O59" s="57"/>
      <c r="P59" s="283"/>
      <c r="Q59" s="264"/>
      <c r="R59" s="264"/>
      <c r="S59" s="264"/>
      <c r="T59" s="264"/>
      <c r="U59" s="264"/>
      <c r="V59" s="264"/>
      <c r="W59" s="349"/>
      <c r="X59" s="259"/>
      <c r="Y59" s="259"/>
      <c r="Z59" s="264"/>
      <c r="AA59" s="337"/>
      <c r="AB59" s="337"/>
      <c r="AC59" s="337"/>
    </row>
    <row r="60" spans="2:29" ht="213" customHeight="1">
      <c r="B60" s="284">
        <v>10</v>
      </c>
      <c r="C60" s="280"/>
      <c r="D60" s="280" t="s">
        <v>28</v>
      </c>
      <c r="E60" s="280"/>
      <c r="F60" s="282" t="str">
        <f>_xlfn.CONCAT(IF(ISBLANK(C60)=FALSE,"MPA, ",""),IF(ISBLANK(D60)=FALSE,"PSA, ",""),IF(ISBLANK(E60)=FALSE,"JP, ",""))</f>
        <v xml:space="preserve">PSA, </v>
      </c>
      <c r="G60" s="282" t="s">
        <v>103</v>
      </c>
      <c r="H60" s="228"/>
      <c r="I60" s="237" t="s">
        <v>104</v>
      </c>
      <c r="J60" s="237"/>
      <c r="K60" s="60" t="s">
        <v>96</v>
      </c>
      <c r="L60" s="82" t="s">
        <v>105</v>
      </c>
      <c r="M60" s="37" t="s">
        <v>98</v>
      </c>
      <c r="N60" s="37" t="s">
        <v>99</v>
      </c>
      <c r="O60" s="61"/>
      <c r="P60" s="282"/>
      <c r="Q60" s="237"/>
      <c r="R60" s="237"/>
      <c r="S60" s="237"/>
      <c r="T60" s="237" t="s">
        <v>28</v>
      </c>
      <c r="U60" s="237"/>
      <c r="V60" s="237"/>
      <c r="W60" s="346">
        <v>3</v>
      </c>
      <c r="X60" s="241">
        <v>3</v>
      </c>
      <c r="Y60" s="241">
        <v>3</v>
      </c>
      <c r="Z60" s="237" t="s">
        <v>65</v>
      </c>
      <c r="AA60" s="335"/>
      <c r="AB60" s="335"/>
      <c r="AC60" s="335"/>
    </row>
    <row r="61" spans="2:29" ht="42.75" customHeight="1">
      <c r="B61" s="285"/>
      <c r="C61" s="281"/>
      <c r="D61" s="281"/>
      <c r="E61" s="281"/>
      <c r="F61" s="283"/>
      <c r="G61" s="283"/>
      <c r="H61" s="247"/>
      <c r="I61" s="264"/>
      <c r="J61" s="264"/>
      <c r="K61" s="53" t="s">
        <v>106</v>
      </c>
      <c r="L61" s="80" t="s">
        <v>101</v>
      </c>
      <c r="M61" s="55" t="s">
        <v>102</v>
      </c>
      <c r="N61" s="55" t="s">
        <v>3</v>
      </c>
      <c r="O61" s="57"/>
      <c r="P61" s="283"/>
      <c r="Q61" s="264"/>
      <c r="R61" s="264"/>
      <c r="S61" s="264"/>
      <c r="T61" s="264"/>
      <c r="U61" s="264"/>
      <c r="V61" s="264"/>
      <c r="W61" s="347"/>
      <c r="X61" s="259"/>
      <c r="Y61" s="259"/>
      <c r="Z61" s="264"/>
      <c r="AA61" s="337"/>
      <c r="AB61" s="337"/>
      <c r="AC61" s="337"/>
    </row>
    <row r="62" spans="2:29" ht="42.75" customHeight="1">
      <c r="B62" s="285"/>
      <c r="C62" s="281"/>
      <c r="D62" s="281"/>
      <c r="E62" s="281"/>
      <c r="F62" s="283"/>
      <c r="G62" s="283"/>
      <c r="H62" s="247"/>
      <c r="I62" s="264"/>
      <c r="J62" s="264"/>
      <c r="K62" s="53" t="s">
        <v>37</v>
      </c>
      <c r="L62" s="80" t="s">
        <v>81</v>
      </c>
      <c r="M62" s="55" t="s">
        <v>102</v>
      </c>
      <c r="N62" s="55" t="s">
        <v>3</v>
      </c>
      <c r="O62" s="57"/>
      <c r="P62" s="283"/>
      <c r="Q62" s="264"/>
      <c r="R62" s="264"/>
      <c r="S62" s="264"/>
      <c r="T62" s="264"/>
      <c r="U62" s="264"/>
      <c r="V62" s="264"/>
      <c r="W62" s="347"/>
      <c r="X62" s="259"/>
      <c r="Y62" s="259"/>
      <c r="Z62" s="264"/>
      <c r="AA62" s="337"/>
      <c r="AB62" s="337"/>
      <c r="AC62" s="337"/>
    </row>
    <row r="63" spans="2:29" ht="45.75" customHeight="1">
      <c r="B63" s="278">
        <v>11</v>
      </c>
      <c r="C63" s="280"/>
      <c r="D63" s="280" t="s">
        <v>28</v>
      </c>
      <c r="E63" s="280"/>
      <c r="F63" s="282" t="str">
        <f>_xlfn.CONCAT(IF(ISBLANK(C63)=FALSE,"MPA, ",""),IF(ISBLANK(D63)=FALSE,"PSA, ",""),IF(ISBLANK(E63)=FALSE,"JP, ",""))</f>
        <v xml:space="preserve">PSA, </v>
      </c>
      <c r="G63" s="282" t="s">
        <v>107</v>
      </c>
      <c r="H63" s="282"/>
      <c r="I63" s="237" t="s">
        <v>108</v>
      </c>
      <c r="J63" s="237"/>
      <c r="K63" s="34" t="s">
        <v>109</v>
      </c>
      <c r="L63" s="34" t="s">
        <v>110</v>
      </c>
      <c r="M63" s="66"/>
      <c r="N63" s="66"/>
      <c r="O63" s="352"/>
      <c r="P63" s="282"/>
      <c r="Q63" s="237"/>
      <c r="R63" s="237"/>
      <c r="S63" s="237" t="s">
        <v>28</v>
      </c>
      <c r="T63" s="237" t="s">
        <v>28</v>
      </c>
      <c r="U63" s="237" t="s">
        <v>28</v>
      </c>
      <c r="V63" s="237" t="s">
        <v>28</v>
      </c>
      <c r="W63" s="346">
        <v>3</v>
      </c>
      <c r="X63" s="241">
        <v>1</v>
      </c>
      <c r="Y63" s="241">
        <v>3</v>
      </c>
      <c r="Z63" s="237" t="s">
        <v>47</v>
      </c>
      <c r="AA63" s="335"/>
      <c r="AB63" s="335"/>
      <c r="AC63" s="335"/>
    </row>
    <row r="64" spans="2:29" ht="51.75" customHeight="1">
      <c r="B64" s="279"/>
      <c r="C64" s="281"/>
      <c r="D64" s="281"/>
      <c r="E64" s="281"/>
      <c r="F64" s="283"/>
      <c r="G64" s="283"/>
      <c r="H64" s="283"/>
      <c r="I64" s="264"/>
      <c r="J64" s="264"/>
      <c r="K64" s="34" t="s">
        <v>111</v>
      </c>
      <c r="L64" s="34" t="s">
        <v>112</v>
      </c>
      <c r="M64" s="67"/>
      <c r="N64" s="67"/>
      <c r="O64" s="353"/>
      <c r="P64" s="283"/>
      <c r="Q64" s="264"/>
      <c r="R64" s="264"/>
      <c r="S64" s="264"/>
      <c r="T64" s="264"/>
      <c r="U64" s="264"/>
      <c r="V64" s="264"/>
      <c r="W64" s="347"/>
      <c r="X64" s="259"/>
      <c r="Y64" s="259"/>
      <c r="Z64" s="264"/>
      <c r="AA64" s="337"/>
      <c r="AB64" s="337"/>
      <c r="AC64" s="337"/>
    </row>
    <row r="65" spans="2:29" ht="42.75" customHeight="1">
      <c r="B65" s="279"/>
      <c r="C65" s="281"/>
      <c r="D65" s="281"/>
      <c r="E65" s="281"/>
      <c r="F65" s="283"/>
      <c r="G65" s="283"/>
      <c r="H65" s="283"/>
      <c r="I65" s="264"/>
      <c r="J65" s="264"/>
      <c r="K65" s="34" t="s">
        <v>113</v>
      </c>
      <c r="L65" s="34" t="s">
        <v>114</v>
      </c>
      <c r="M65" s="66"/>
      <c r="N65" s="66"/>
      <c r="O65" s="40"/>
      <c r="P65" s="283"/>
      <c r="Q65" s="264"/>
      <c r="R65" s="264"/>
      <c r="S65" s="264"/>
      <c r="T65" s="264"/>
      <c r="U65" s="264"/>
      <c r="V65" s="264"/>
      <c r="W65" s="347"/>
      <c r="X65" s="259"/>
      <c r="Y65" s="259"/>
      <c r="Z65" s="264"/>
      <c r="AA65" s="337"/>
      <c r="AB65" s="337"/>
      <c r="AC65" s="337"/>
    </row>
    <row r="66" spans="2:29" ht="19">
      <c r="B66" s="279"/>
      <c r="C66" s="281"/>
      <c r="D66" s="281"/>
      <c r="E66" s="281"/>
      <c r="F66" s="283"/>
      <c r="G66" s="283"/>
      <c r="H66" s="283"/>
      <c r="I66" s="264"/>
      <c r="J66" s="264"/>
      <c r="K66" s="34" t="s">
        <v>115</v>
      </c>
      <c r="L66" s="34" t="s">
        <v>116</v>
      </c>
      <c r="M66" s="68"/>
      <c r="N66" s="68"/>
      <c r="O66" s="39"/>
      <c r="P66" s="283"/>
      <c r="Q66" s="264"/>
      <c r="R66" s="264"/>
      <c r="S66" s="264"/>
      <c r="T66" s="264"/>
      <c r="U66" s="264"/>
      <c r="V66" s="264"/>
      <c r="W66" s="347"/>
      <c r="X66" s="259"/>
      <c r="Y66" s="259"/>
      <c r="Z66" s="264"/>
      <c r="AA66" s="337"/>
      <c r="AB66" s="337"/>
      <c r="AC66" s="337"/>
    </row>
    <row r="67" spans="2:29" ht="42.75" customHeight="1">
      <c r="B67" s="279"/>
      <c r="C67" s="281"/>
      <c r="D67" s="281"/>
      <c r="E67" s="281"/>
      <c r="F67" s="283"/>
      <c r="G67" s="283"/>
      <c r="H67" s="283"/>
      <c r="I67" s="264"/>
      <c r="J67" s="264"/>
      <c r="K67" s="34" t="s">
        <v>117</v>
      </c>
      <c r="L67" s="34" t="s">
        <v>118</v>
      </c>
      <c r="M67" s="68"/>
      <c r="N67" s="68"/>
      <c r="O67" s="39"/>
      <c r="P67" s="283"/>
      <c r="Q67" s="264"/>
      <c r="R67" s="264"/>
      <c r="S67" s="264"/>
      <c r="T67" s="264"/>
      <c r="U67" s="264"/>
      <c r="V67" s="264"/>
      <c r="W67" s="347"/>
      <c r="X67" s="259"/>
      <c r="Y67" s="259"/>
      <c r="Z67" s="264"/>
      <c r="AA67" s="337"/>
      <c r="AB67" s="337"/>
      <c r="AC67" s="337"/>
    </row>
    <row r="68" spans="2:29" ht="42.75" customHeight="1">
      <c r="B68" s="279"/>
      <c r="C68" s="281"/>
      <c r="D68" s="281"/>
      <c r="E68" s="281"/>
      <c r="F68" s="283"/>
      <c r="G68" s="283"/>
      <c r="H68" s="283"/>
      <c r="I68" s="264"/>
      <c r="J68" s="264"/>
      <c r="K68" s="34" t="s">
        <v>119</v>
      </c>
      <c r="L68" s="64" t="s">
        <v>120</v>
      </c>
      <c r="M68" s="69"/>
      <c r="N68" s="69"/>
      <c r="O68" s="39"/>
      <c r="P68" s="283"/>
      <c r="Q68" s="264"/>
      <c r="R68" s="264"/>
      <c r="S68" s="264"/>
      <c r="T68" s="264"/>
      <c r="U68" s="264"/>
      <c r="V68" s="264"/>
      <c r="W68" s="347"/>
      <c r="X68" s="259"/>
      <c r="Y68" s="259"/>
      <c r="Z68" s="264"/>
      <c r="AA68" s="337"/>
      <c r="AB68" s="337"/>
      <c r="AC68" s="337"/>
    </row>
    <row r="69" spans="2:29" ht="42.75" customHeight="1">
      <c r="B69" s="293"/>
      <c r="C69" s="287"/>
      <c r="D69" s="287"/>
      <c r="E69" s="287"/>
      <c r="F69" s="288"/>
      <c r="G69" s="288"/>
      <c r="H69" s="288"/>
      <c r="I69" s="238"/>
      <c r="J69" s="238"/>
      <c r="K69" s="36" t="s">
        <v>121</v>
      </c>
      <c r="L69" s="36" t="s">
        <v>122</v>
      </c>
      <c r="M69" s="66"/>
      <c r="N69" s="66"/>
      <c r="O69" s="40"/>
      <c r="P69" s="288"/>
      <c r="Q69" s="238"/>
      <c r="R69" s="238"/>
      <c r="S69" s="238"/>
      <c r="T69" s="238"/>
      <c r="U69" s="238"/>
      <c r="V69" s="238"/>
      <c r="W69" s="354"/>
      <c r="X69" s="242"/>
      <c r="Y69" s="242"/>
      <c r="Z69" s="238"/>
      <c r="AA69" s="338"/>
      <c r="AB69" s="338"/>
      <c r="AC69" s="338"/>
    </row>
    <row r="70" spans="2:29" ht="30" customHeight="1">
      <c r="B70" s="284">
        <v>12</v>
      </c>
      <c r="C70" s="280"/>
      <c r="D70" s="280" t="s">
        <v>28</v>
      </c>
      <c r="E70" s="280"/>
      <c r="F70" s="282" t="str">
        <f>_xlfn.CONCAT(IF(ISBLANK(C70)=FALSE,"MPA, ",""),IF(ISBLANK(D70)=FALSE,"PSA, ",""),IF(ISBLANK(E70)=FALSE,"JP, ",""))</f>
        <v xml:space="preserve">PSA, </v>
      </c>
      <c r="G70" s="282" t="s">
        <v>355</v>
      </c>
      <c r="H70" s="282"/>
      <c r="I70" s="237" t="s">
        <v>123</v>
      </c>
      <c r="J70" s="237"/>
      <c r="K70" s="355" t="s">
        <v>106</v>
      </c>
      <c r="L70" s="53" t="s">
        <v>124</v>
      </c>
      <c r="M70" s="306" t="s">
        <v>350</v>
      </c>
      <c r="N70" s="306" t="s">
        <v>3</v>
      </c>
      <c r="O70" s="325"/>
      <c r="P70" s="282"/>
      <c r="Q70" s="237"/>
      <c r="R70" s="237"/>
      <c r="S70" s="237"/>
      <c r="T70" s="237" t="s">
        <v>28</v>
      </c>
      <c r="U70" s="237"/>
      <c r="V70" s="237" t="s">
        <v>28</v>
      </c>
      <c r="W70" s="348">
        <v>2</v>
      </c>
      <c r="X70" s="241">
        <v>3</v>
      </c>
      <c r="Y70" s="241">
        <v>3</v>
      </c>
      <c r="Z70" s="237" t="s">
        <v>31</v>
      </c>
      <c r="AA70" s="335"/>
      <c r="AB70" s="335"/>
      <c r="AC70" s="335"/>
    </row>
    <row r="71" spans="2:29" ht="30" customHeight="1">
      <c r="B71" s="285"/>
      <c r="C71" s="281"/>
      <c r="D71" s="281"/>
      <c r="E71" s="281"/>
      <c r="F71" s="283"/>
      <c r="G71" s="283"/>
      <c r="H71" s="283"/>
      <c r="I71" s="264"/>
      <c r="J71" s="264"/>
      <c r="K71" s="355"/>
      <c r="L71" s="53" t="s">
        <v>125</v>
      </c>
      <c r="M71" s="306"/>
      <c r="N71" s="306"/>
      <c r="O71" s="325"/>
      <c r="P71" s="283"/>
      <c r="Q71" s="264"/>
      <c r="R71" s="264"/>
      <c r="S71" s="264"/>
      <c r="T71" s="264"/>
      <c r="U71" s="264"/>
      <c r="V71" s="264"/>
      <c r="W71" s="349"/>
      <c r="X71" s="259"/>
      <c r="Y71" s="259"/>
      <c r="Z71" s="264"/>
      <c r="AA71" s="337"/>
      <c r="AB71" s="337"/>
      <c r="AC71" s="337"/>
    </row>
    <row r="72" spans="2:29" ht="32.75" customHeight="1">
      <c r="B72" s="285"/>
      <c r="C72" s="281"/>
      <c r="D72" s="281"/>
      <c r="E72" s="281"/>
      <c r="F72" s="283"/>
      <c r="G72" s="283"/>
      <c r="H72" s="283"/>
      <c r="I72" s="264"/>
      <c r="J72" s="264"/>
      <c r="K72" s="53" t="s">
        <v>32</v>
      </c>
      <c r="L72" s="53" t="s">
        <v>48</v>
      </c>
      <c r="M72" s="306"/>
      <c r="N72" s="306"/>
      <c r="O72" s="57"/>
      <c r="P72" s="283"/>
      <c r="Q72" s="264"/>
      <c r="R72" s="264"/>
      <c r="S72" s="264"/>
      <c r="T72" s="264"/>
      <c r="U72" s="264"/>
      <c r="V72" s="264"/>
      <c r="W72" s="349"/>
      <c r="X72" s="259"/>
      <c r="Y72" s="259"/>
      <c r="Z72" s="264"/>
      <c r="AA72" s="337"/>
      <c r="AB72" s="337"/>
      <c r="AC72" s="337"/>
    </row>
    <row r="73" spans="2:29" ht="35.25" customHeight="1">
      <c r="B73" s="285"/>
      <c r="C73" s="281"/>
      <c r="D73" s="281"/>
      <c r="E73" s="281"/>
      <c r="F73" s="283"/>
      <c r="G73" s="283"/>
      <c r="H73" s="283"/>
      <c r="I73" s="264"/>
      <c r="J73" s="264"/>
      <c r="K73" s="53" t="s">
        <v>33</v>
      </c>
      <c r="L73" s="53" t="s">
        <v>68</v>
      </c>
      <c r="M73" s="306"/>
      <c r="N73" s="306"/>
      <c r="O73" s="57"/>
      <c r="P73" s="283"/>
      <c r="Q73" s="264"/>
      <c r="R73" s="264"/>
      <c r="S73" s="264"/>
      <c r="T73" s="264"/>
      <c r="U73" s="264"/>
      <c r="V73" s="264"/>
      <c r="W73" s="349"/>
      <c r="X73" s="259"/>
      <c r="Y73" s="259"/>
      <c r="Z73" s="264"/>
      <c r="AA73" s="337"/>
      <c r="AB73" s="337"/>
      <c r="AC73" s="337"/>
    </row>
    <row r="74" spans="2:29" ht="37.5" customHeight="1">
      <c r="B74" s="285"/>
      <c r="C74" s="281"/>
      <c r="D74" s="281"/>
      <c r="E74" s="281"/>
      <c r="F74" s="283"/>
      <c r="G74" s="283"/>
      <c r="H74" s="283"/>
      <c r="I74" s="264"/>
      <c r="J74" s="264"/>
      <c r="K74" s="94" t="s">
        <v>344</v>
      </c>
      <c r="L74" s="94" t="s">
        <v>345</v>
      </c>
      <c r="M74" s="306"/>
      <c r="N74" s="306"/>
      <c r="O74" s="325"/>
      <c r="P74" s="283"/>
      <c r="Q74" s="264"/>
      <c r="R74" s="264"/>
      <c r="S74" s="264"/>
      <c r="T74" s="264"/>
      <c r="U74" s="264"/>
      <c r="V74" s="264"/>
      <c r="W74" s="349"/>
      <c r="X74" s="259"/>
      <c r="Y74" s="259"/>
      <c r="Z74" s="264"/>
      <c r="AA74" s="337"/>
      <c r="AB74" s="337"/>
      <c r="AC74" s="337"/>
    </row>
    <row r="75" spans="2:29" ht="38.25" customHeight="1">
      <c r="B75" s="285"/>
      <c r="C75" s="281"/>
      <c r="D75" s="281"/>
      <c r="E75" s="281"/>
      <c r="F75" s="283"/>
      <c r="G75" s="283"/>
      <c r="H75" s="283"/>
      <c r="I75" s="264"/>
      <c r="J75" s="264"/>
      <c r="K75" s="53" t="s">
        <v>29</v>
      </c>
      <c r="L75" s="53" t="s">
        <v>343</v>
      </c>
      <c r="M75" s="234" t="s">
        <v>357</v>
      </c>
      <c r="N75" s="306"/>
      <c r="O75" s="325"/>
      <c r="P75" s="283"/>
      <c r="Q75" s="264"/>
      <c r="R75" s="264"/>
      <c r="S75" s="264"/>
      <c r="T75" s="264"/>
      <c r="U75" s="264"/>
      <c r="V75" s="264"/>
      <c r="W75" s="349"/>
      <c r="X75" s="259"/>
      <c r="Y75" s="259"/>
      <c r="Z75" s="264"/>
      <c r="AA75" s="337"/>
      <c r="AB75" s="337"/>
      <c r="AC75" s="337"/>
    </row>
    <row r="76" spans="2:29" ht="38.25" customHeight="1">
      <c r="B76" s="285"/>
      <c r="C76" s="281"/>
      <c r="D76" s="281"/>
      <c r="E76" s="281"/>
      <c r="F76" s="283"/>
      <c r="G76" s="283"/>
      <c r="H76" s="283"/>
      <c r="I76" s="264"/>
      <c r="J76" s="264"/>
      <c r="K76" s="53" t="s">
        <v>348</v>
      </c>
      <c r="L76" s="53" t="s">
        <v>347</v>
      </c>
      <c r="M76" s="235"/>
      <c r="N76" s="306"/>
      <c r="O76" s="57"/>
      <c r="P76" s="283"/>
      <c r="Q76" s="264"/>
      <c r="R76" s="264"/>
      <c r="S76" s="264"/>
      <c r="T76" s="264"/>
      <c r="U76" s="264"/>
      <c r="V76" s="264"/>
      <c r="W76" s="349"/>
      <c r="X76" s="259"/>
      <c r="Y76" s="259"/>
      <c r="Z76" s="264"/>
      <c r="AA76" s="337"/>
      <c r="AB76" s="337"/>
      <c r="AC76" s="337"/>
    </row>
    <row r="77" spans="2:29" ht="38.75" customHeight="1">
      <c r="B77" s="285"/>
      <c r="C77" s="281"/>
      <c r="D77" s="281"/>
      <c r="E77" s="281"/>
      <c r="F77" s="283"/>
      <c r="G77" s="283"/>
      <c r="H77" s="283"/>
      <c r="I77" s="264"/>
      <c r="J77" s="264"/>
      <c r="K77" s="53" t="s">
        <v>37</v>
      </c>
      <c r="L77" s="53" t="s">
        <v>349</v>
      </c>
      <c r="M77" s="236"/>
      <c r="N77" s="306"/>
      <c r="O77" s="57"/>
      <c r="P77" s="283"/>
      <c r="Q77" s="264"/>
      <c r="R77" s="264"/>
      <c r="S77" s="264"/>
      <c r="T77" s="264"/>
      <c r="U77" s="264"/>
      <c r="V77" s="264"/>
      <c r="W77" s="349"/>
      <c r="X77" s="259"/>
      <c r="Y77" s="259"/>
      <c r="Z77" s="264"/>
      <c r="AA77" s="337"/>
      <c r="AB77" s="337"/>
      <c r="AC77" s="337"/>
    </row>
    <row r="78" spans="2:29" ht="38.25" customHeight="1">
      <c r="B78" s="285"/>
      <c r="C78" s="281"/>
      <c r="D78" s="281"/>
      <c r="E78" s="281"/>
      <c r="F78" s="283"/>
      <c r="G78" s="283"/>
      <c r="H78" s="283"/>
      <c r="I78" s="264"/>
      <c r="J78" s="264"/>
      <c r="K78" s="53" t="s">
        <v>36</v>
      </c>
      <c r="L78" s="53" t="s">
        <v>346</v>
      </c>
      <c r="M78" s="234" t="s">
        <v>360</v>
      </c>
      <c r="N78" s="306"/>
      <c r="O78" s="57"/>
      <c r="P78" s="283"/>
      <c r="Q78" s="264"/>
      <c r="R78" s="264"/>
      <c r="S78" s="264"/>
      <c r="T78" s="264"/>
      <c r="U78" s="264"/>
      <c r="V78" s="264"/>
      <c r="W78" s="349"/>
      <c r="X78" s="259"/>
      <c r="Y78" s="259"/>
      <c r="Z78" s="264"/>
      <c r="AA78" s="337"/>
      <c r="AB78" s="337"/>
      <c r="AC78" s="337"/>
    </row>
    <row r="79" spans="2:29" ht="37.5" customHeight="1">
      <c r="B79" s="285"/>
      <c r="C79" s="281"/>
      <c r="D79" s="281"/>
      <c r="E79" s="281"/>
      <c r="F79" s="283"/>
      <c r="G79" s="283"/>
      <c r="H79" s="283"/>
      <c r="I79" s="264"/>
      <c r="J79" s="264"/>
      <c r="K79" s="53" t="s">
        <v>51</v>
      </c>
      <c r="L79" s="53" t="s">
        <v>127</v>
      </c>
      <c r="M79" s="235"/>
      <c r="N79" s="306"/>
      <c r="O79" s="57"/>
      <c r="P79" s="283"/>
      <c r="Q79" s="264"/>
      <c r="R79" s="264"/>
      <c r="S79" s="264"/>
      <c r="T79" s="264"/>
      <c r="U79" s="264"/>
      <c r="V79" s="264"/>
      <c r="W79" s="349"/>
      <c r="X79" s="259"/>
      <c r="Y79" s="259"/>
      <c r="Z79" s="264"/>
      <c r="AA79" s="337"/>
      <c r="AB79" s="337"/>
      <c r="AC79" s="337"/>
    </row>
    <row r="80" spans="2:29" ht="26" customHeight="1">
      <c r="B80" s="286"/>
      <c r="C80" s="287"/>
      <c r="D80" s="287"/>
      <c r="E80" s="287"/>
      <c r="F80" s="288"/>
      <c r="G80" s="288"/>
      <c r="H80" s="288"/>
      <c r="I80" s="238"/>
      <c r="J80" s="238"/>
      <c r="K80" s="53" t="s">
        <v>37</v>
      </c>
      <c r="L80" s="23" t="s">
        <v>351</v>
      </c>
      <c r="M80" s="236"/>
      <c r="N80" s="306"/>
      <c r="O80" s="57"/>
      <c r="P80" s="288"/>
      <c r="Q80" s="238"/>
      <c r="R80" s="238"/>
      <c r="S80" s="238"/>
      <c r="T80" s="238"/>
      <c r="U80" s="238"/>
      <c r="V80" s="238"/>
      <c r="W80" s="360"/>
      <c r="X80" s="242"/>
      <c r="Y80" s="242"/>
      <c r="Z80" s="238"/>
      <c r="AA80" s="338"/>
      <c r="AB80" s="338"/>
      <c r="AC80" s="338"/>
    </row>
    <row r="81" spans="2:29" ht="141" customHeight="1">
      <c r="B81" s="251">
        <v>13</v>
      </c>
      <c r="C81" s="280"/>
      <c r="D81" s="280"/>
      <c r="E81" s="280" t="s">
        <v>28</v>
      </c>
      <c r="F81" s="282" t="str">
        <f>_xlfn.CONCAT(IF(ISBLANK(C81)=FALSE,"MPA, ",""),IF(ISBLANK(D81)=FALSE,"PSA, ",""),IF(ISBLANK(E81)=FALSE,"JP, ",""))</f>
        <v xml:space="preserve">JP, </v>
      </c>
      <c r="G81" s="282" t="s">
        <v>128</v>
      </c>
      <c r="H81" s="282"/>
      <c r="I81" s="237" t="s">
        <v>129</v>
      </c>
      <c r="J81" s="237"/>
      <c r="K81" s="57" t="s">
        <v>130</v>
      </c>
      <c r="L81" s="57" t="s">
        <v>131</v>
      </c>
      <c r="M81" s="55" t="s">
        <v>356</v>
      </c>
      <c r="N81" s="306" t="s">
        <v>3</v>
      </c>
      <c r="O81" s="62"/>
      <c r="P81" s="282"/>
      <c r="Q81" s="237"/>
      <c r="R81" s="237"/>
      <c r="S81" s="237"/>
      <c r="T81" s="237" t="s">
        <v>28</v>
      </c>
      <c r="U81" s="237"/>
      <c r="V81" s="237"/>
      <c r="W81" s="356">
        <v>2</v>
      </c>
      <c r="X81" s="241">
        <v>3</v>
      </c>
      <c r="Y81" s="241">
        <v>3</v>
      </c>
      <c r="Z81" s="237" t="s">
        <v>65</v>
      </c>
      <c r="AA81" s="335"/>
      <c r="AB81" s="335"/>
      <c r="AC81" s="335"/>
    </row>
    <row r="82" spans="2:29" ht="42.75" customHeight="1">
      <c r="B82" s="252"/>
      <c r="C82" s="281"/>
      <c r="D82" s="281"/>
      <c r="E82" s="281"/>
      <c r="F82" s="283"/>
      <c r="G82" s="283"/>
      <c r="H82" s="283"/>
      <c r="I82" s="264"/>
      <c r="J82" s="264"/>
      <c r="K82" s="57" t="s">
        <v>132</v>
      </c>
      <c r="L82" s="57" t="s">
        <v>133</v>
      </c>
      <c r="M82" s="306" t="s">
        <v>358</v>
      </c>
      <c r="N82" s="306"/>
      <c r="O82" s="57"/>
      <c r="P82" s="283"/>
      <c r="Q82" s="264"/>
      <c r="R82" s="264"/>
      <c r="S82" s="264"/>
      <c r="T82" s="264"/>
      <c r="U82" s="264"/>
      <c r="V82" s="264"/>
      <c r="W82" s="357"/>
      <c r="X82" s="259"/>
      <c r="Y82" s="259"/>
      <c r="Z82" s="264"/>
      <c r="AA82" s="337"/>
      <c r="AB82" s="337"/>
      <c r="AC82" s="337"/>
    </row>
    <row r="83" spans="2:29" ht="42.75" customHeight="1">
      <c r="B83" s="252"/>
      <c r="C83" s="281"/>
      <c r="D83" s="281"/>
      <c r="E83" s="281"/>
      <c r="F83" s="283"/>
      <c r="G83" s="283"/>
      <c r="H83" s="283"/>
      <c r="I83" s="264"/>
      <c r="J83" s="264"/>
      <c r="K83" s="57" t="s">
        <v>134</v>
      </c>
      <c r="L83" s="57" t="s">
        <v>135</v>
      </c>
      <c r="M83" s="306"/>
      <c r="N83" s="306"/>
      <c r="O83" s="57"/>
      <c r="P83" s="283"/>
      <c r="Q83" s="264"/>
      <c r="R83" s="264"/>
      <c r="S83" s="264"/>
      <c r="T83" s="264"/>
      <c r="U83" s="264"/>
      <c r="V83" s="264"/>
      <c r="W83" s="357"/>
      <c r="X83" s="259"/>
      <c r="Y83" s="259"/>
      <c r="Z83" s="264"/>
      <c r="AA83" s="337"/>
      <c r="AB83" s="337"/>
      <c r="AC83" s="337"/>
    </row>
    <row r="84" spans="2:29" ht="61.5" customHeight="1">
      <c r="B84" s="252"/>
      <c r="C84" s="287"/>
      <c r="D84" s="287"/>
      <c r="E84" s="287"/>
      <c r="F84" s="288"/>
      <c r="G84" s="288"/>
      <c r="H84" s="288"/>
      <c r="I84" s="238"/>
      <c r="J84" s="238"/>
      <c r="K84" s="59" t="s">
        <v>136</v>
      </c>
      <c r="L84" s="59" t="s">
        <v>137</v>
      </c>
      <c r="M84" s="56" t="s">
        <v>359</v>
      </c>
      <c r="N84" s="234"/>
      <c r="O84" s="59"/>
      <c r="P84" s="288"/>
      <c r="Q84" s="238"/>
      <c r="R84" s="238"/>
      <c r="S84" s="238"/>
      <c r="T84" s="238"/>
      <c r="U84" s="238"/>
      <c r="V84" s="238"/>
      <c r="W84" s="358"/>
      <c r="X84" s="242"/>
      <c r="Y84" s="242"/>
      <c r="Z84" s="238"/>
      <c r="AA84" s="338"/>
      <c r="AB84" s="338"/>
      <c r="AC84" s="338"/>
    </row>
    <row r="85" spans="2:29" ht="60.75" customHeight="1">
      <c r="B85" s="290">
        <v>14</v>
      </c>
      <c r="C85" s="291"/>
      <c r="D85" s="291"/>
      <c r="E85" s="291" t="s">
        <v>28</v>
      </c>
      <c r="F85" s="289" t="str">
        <f>_xlfn.CONCAT(IF(ISBLANK(C85)=FALSE,"MPA, ",""),IF(ISBLANK(D85)=FALSE,"PSA, ",""),IF(ISBLANK(E85)=FALSE,"JP, ",""))</f>
        <v xml:space="preserve">JP, </v>
      </c>
      <c r="G85" s="289" t="s">
        <v>138</v>
      </c>
      <c r="H85" s="282"/>
      <c r="I85" s="261" t="s">
        <v>139</v>
      </c>
      <c r="J85" s="237"/>
      <c r="K85" s="53" t="s">
        <v>140</v>
      </c>
      <c r="L85" s="53" t="s">
        <v>141</v>
      </c>
      <c r="M85" s="55" t="s">
        <v>142</v>
      </c>
      <c r="N85" s="306" t="s">
        <v>3</v>
      </c>
      <c r="O85" s="57"/>
      <c r="P85" s="282"/>
      <c r="Q85" s="237" t="s">
        <v>28</v>
      </c>
      <c r="R85" s="237"/>
      <c r="S85" s="237" t="s">
        <v>28</v>
      </c>
      <c r="T85" s="237" t="s">
        <v>28</v>
      </c>
      <c r="U85" s="237"/>
      <c r="V85" s="237" t="s">
        <v>28</v>
      </c>
      <c r="W85" s="348">
        <v>2</v>
      </c>
      <c r="X85" s="241">
        <v>2</v>
      </c>
      <c r="Y85" s="241">
        <v>3</v>
      </c>
      <c r="Z85" s="237" t="s">
        <v>31</v>
      </c>
      <c r="AA85" s="335"/>
      <c r="AB85" s="335"/>
      <c r="AC85" s="335"/>
    </row>
    <row r="86" spans="2:29" ht="50.75" customHeight="1">
      <c r="B86" s="290"/>
      <c r="C86" s="291"/>
      <c r="D86" s="291"/>
      <c r="E86" s="291"/>
      <c r="F86" s="289"/>
      <c r="G86" s="289"/>
      <c r="H86" s="283"/>
      <c r="I86" s="261"/>
      <c r="J86" s="264"/>
      <c r="K86" s="53" t="s">
        <v>37</v>
      </c>
      <c r="L86" s="53" t="s">
        <v>81</v>
      </c>
      <c r="M86" s="55" t="s">
        <v>143</v>
      </c>
      <c r="N86" s="306"/>
      <c r="O86" s="57"/>
      <c r="P86" s="283"/>
      <c r="Q86" s="264"/>
      <c r="R86" s="264"/>
      <c r="S86" s="264"/>
      <c r="T86" s="264"/>
      <c r="U86" s="264"/>
      <c r="V86" s="264"/>
      <c r="W86" s="349"/>
      <c r="X86" s="259"/>
      <c r="Y86" s="259"/>
      <c r="Z86" s="264"/>
      <c r="AA86" s="337"/>
      <c r="AB86" s="337"/>
      <c r="AC86" s="337"/>
    </row>
    <row r="87" spans="2:29" ht="30" customHeight="1">
      <c r="B87" s="290">
        <v>15</v>
      </c>
      <c r="C87" s="291"/>
      <c r="D87" s="291"/>
      <c r="E87" s="291" t="s">
        <v>28</v>
      </c>
      <c r="F87" s="289" t="str">
        <f>_xlfn.CONCAT(IF(ISBLANK(C87)=FALSE,"MPA, ",""),IF(ISBLANK(D87)=FALSE,"PSA, ",""),IF(ISBLANK(E87)=FALSE,"JP, ",""))</f>
        <v xml:space="preserve">JP, </v>
      </c>
      <c r="G87" s="289" t="s">
        <v>144</v>
      </c>
      <c r="H87" s="282"/>
      <c r="I87" s="261" t="s">
        <v>361</v>
      </c>
      <c r="J87" s="237"/>
      <c r="K87" s="53" t="s">
        <v>57</v>
      </c>
      <c r="L87" s="53" t="s">
        <v>64</v>
      </c>
      <c r="M87" s="55" t="s">
        <v>145</v>
      </c>
      <c r="N87" s="306" t="s">
        <v>4</v>
      </c>
      <c r="O87" s="325"/>
      <c r="P87" s="282"/>
      <c r="Q87" s="237" t="s">
        <v>28</v>
      </c>
      <c r="R87" s="237"/>
      <c r="S87" s="237"/>
      <c r="T87" s="237" t="s">
        <v>28</v>
      </c>
      <c r="U87" s="237"/>
      <c r="V87" s="237" t="s">
        <v>28</v>
      </c>
      <c r="W87" s="356">
        <v>2</v>
      </c>
      <c r="X87" s="241">
        <v>3</v>
      </c>
      <c r="Y87" s="241" t="s">
        <v>100</v>
      </c>
      <c r="Z87" s="237" t="s">
        <v>31</v>
      </c>
      <c r="AA87" s="335"/>
      <c r="AB87" s="335"/>
      <c r="AC87" s="335"/>
    </row>
    <row r="88" spans="2:29" ht="30" customHeight="1">
      <c r="B88" s="290"/>
      <c r="C88" s="291"/>
      <c r="D88" s="291"/>
      <c r="E88" s="291"/>
      <c r="F88" s="289"/>
      <c r="G88" s="289"/>
      <c r="H88" s="283"/>
      <c r="I88" s="261"/>
      <c r="J88" s="264"/>
      <c r="K88" s="53" t="s">
        <v>59</v>
      </c>
      <c r="L88" s="53" t="s">
        <v>362</v>
      </c>
      <c r="M88" s="55"/>
      <c r="N88" s="306"/>
      <c r="O88" s="325"/>
      <c r="P88" s="283"/>
      <c r="Q88" s="264"/>
      <c r="R88" s="264"/>
      <c r="S88" s="264"/>
      <c r="T88" s="264"/>
      <c r="U88" s="264"/>
      <c r="V88" s="264"/>
      <c r="W88" s="357"/>
      <c r="X88" s="259"/>
      <c r="Y88" s="259"/>
      <c r="Z88" s="264"/>
      <c r="AA88" s="337"/>
      <c r="AB88" s="337"/>
      <c r="AC88" s="337"/>
    </row>
    <row r="89" spans="2:29" ht="30" customHeight="1">
      <c r="B89" s="290"/>
      <c r="C89" s="291"/>
      <c r="D89" s="291"/>
      <c r="E89" s="291"/>
      <c r="F89" s="289"/>
      <c r="G89" s="289"/>
      <c r="H89" s="283"/>
      <c r="I89" s="261"/>
      <c r="J89" s="264"/>
      <c r="K89" s="53" t="s">
        <v>66</v>
      </c>
      <c r="L89" s="53" t="s">
        <v>67</v>
      </c>
      <c r="M89" s="55"/>
      <c r="N89" s="306"/>
      <c r="O89" s="325"/>
      <c r="P89" s="283"/>
      <c r="Q89" s="264"/>
      <c r="R89" s="264"/>
      <c r="S89" s="264"/>
      <c r="T89" s="264"/>
      <c r="U89" s="264"/>
      <c r="V89" s="264"/>
      <c r="W89" s="357"/>
      <c r="X89" s="259"/>
      <c r="Y89" s="259"/>
      <c r="Z89" s="264"/>
      <c r="AA89" s="337"/>
      <c r="AB89" s="337"/>
      <c r="AC89" s="337"/>
    </row>
    <row r="90" spans="2:29" ht="30" customHeight="1">
      <c r="B90" s="290"/>
      <c r="C90" s="291"/>
      <c r="D90" s="291"/>
      <c r="E90" s="291"/>
      <c r="F90" s="289"/>
      <c r="G90" s="289"/>
      <c r="H90" s="283"/>
      <c r="I90" s="261"/>
      <c r="J90" s="264"/>
      <c r="K90" s="53" t="s">
        <v>32</v>
      </c>
      <c r="L90" s="53" t="s">
        <v>363</v>
      </c>
      <c r="M90" s="55"/>
      <c r="N90" s="306"/>
      <c r="O90" s="325"/>
      <c r="P90" s="283"/>
      <c r="Q90" s="264"/>
      <c r="R90" s="264"/>
      <c r="S90" s="264"/>
      <c r="T90" s="264"/>
      <c r="U90" s="264"/>
      <c r="V90" s="264"/>
      <c r="W90" s="357"/>
      <c r="X90" s="259"/>
      <c r="Y90" s="259"/>
      <c r="Z90" s="264"/>
      <c r="AA90" s="337"/>
      <c r="AB90" s="337"/>
      <c r="AC90" s="337"/>
    </row>
    <row r="91" spans="2:29" ht="30" customHeight="1">
      <c r="B91" s="290"/>
      <c r="C91" s="291"/>
      <c r="D91" s="291"/>
      <c r="E91" s="291"/>
      <c r="F91" s="289"/>
      <c r="G91" s="289"/>
      <c r="H91" s="283"/>
      <c r="I91" s="261"/>
      <c r="J91" s="264"/>
      <c r="K91" s="53" t="s">
        <v>33</v>
      </c>
      <c r="L91" s="53" t="s">
        <v>68</v>
      </c>
      <c r="M91" s="55"/>
      <c r="N91" s="306"/>
      <c r="O91" s="57"/>
      <c r="P91" s="283"/>
      <c r="Q91" s="264"/>
      <c r="R91" s="264"/>
      <c r="S91" s="264"/>
      <c r="T91" s="264"/>
      <c r="U91" s="264"/>
      <c r="V91" s="264"/>
      <c r="W91" s="357"/>
      <c r="X91" s="259"/>
      <c r="Y91" s="259"/>
      <c r="Z91" s="264"/>
      <c r="AA91" s="337"/>
      <c r="AB91" s="337"/>
      <c r="AC91" s="337"/>
    </row>
    <row r="92" spans="2:29" ht="30" customHeight="1">
      <c r="B92" s="290"/>
      <c r="C92" s="291"/>
      <c r="D92" s="291"/>
      <c r="E92" s="291"/>
      <c r="F92" s="289"/>
      <c r="G92" s="289"/>
      <c r="H92" s="283"/>
      <c r="I92" s="261"/>
      <c r="J92" s="264"/>
      <c r="K92" s="53" t="s">
        <v>50</v>
      </c>
      <c r="L92" s="53" t="s">
        <v>364</v>
      </c>
      <c r="M92" s="56" t="s">
        <v>146</v>
      </c>
      <c r="N92" s="306"/>
      <c r="O92" s="325"/>
      <c r="P92" s="283"/>
      <c r="Q92" s="264"/>
      <c r="R92" s="264"/>
      <c r="S92" s="264"/>
      <c r="T92" s="264"/>
      <c r="U92" s="264"/>
      <c r="V92" s="264"/>
      <c r="W92" s="357"/>
      <c r="X92" s="259"/>
      <c r="Y92" s="259"/>
      <c r="Z92" s="264"/>
      <c r="AA92" s="337"/>
      <c r="AB92" s="337"/>
      <c r="AC92" s="337"/>
    </row>
    <row r="93" spans="2:29" ht="30" customHeight="1">
      <c r="B93" s="290"/>
      <c r="C93" s="291"/>
      <c r="D93" s="291"/>
      <c r="E93" s="291"/>
      <c r="F93" s="289"/>
      <c r="G93" s="289"/>
      <c r="H93" s="283"/>
      <c r="I93" s="261"/>
      <c r="J93" s="264"/>
      <c r="K93" s="53" t="s">
        <v>126</v>
      </c>
      <c r="L93" s="53" t="s">
        <v>365</v>
      </c>
      <c r="M93" s="87"/>
      <c r="N93" s="306"/>
      <c r="O93" s="325"/>
      <c r="P93" s="283"/>
      <c r="Q93" s="264"/>
      <c r="R93" s="264"/>
      <c r="S93" s="264"/>
      <c r="T93" s="264"/>
      <c r="U93" s="264"/>
      <c r="V93" s="264"/>
      <c r="W93" s="357"/>
      <c r="X93" s="259"/>
      <c r="Y93" s="259"/>
      <c r="Z93" s="264"/>
      <c r="AA93" s="337"/>
      <c r="AB93" s="337"/>
      <c r="AC93" s="337"/>
    </row>
    <row r="94" spans="2:29" ht="40.25" customHeight="1">
      <c r="B94" s="290"/>
      <c r="C94" s="291"/>
      <c r="D94" s="291"/>
      <c r="E94" s="291"/>
      <c r="F94" s="289"/>
      <c r="G94" s="289"/>
      <c r="H94" s="283"/>
      <c r="I94" s="261"/>
      <c r="J94" s="264"/>
      <c r="K94" s="53" t="s">
        <v>51</v>
      </c>
      <c r="L94" s="53" t="s">
        <v>127</v>
      </c>
      <c r="M94" s="87"/>
      <c r="N94" s="306"/>
      <c r="O94" s="325"/>
      <c r="P94" s="283"/>
      <c r="Q94" s="264"/>
      <c r="R94" s="264"/>
      <c r="S94" s="264"/>
      <c r="T94" s="264"/>
      <c r="U94" s="264"/>
      <c r="V94" s="264"/>
      <c r="W94" s="357"/>
      <c r="X94" s="259"/>
      <c r="Y94" s="259"/>
      <c r="Z94" s="264"/>
      <c r="AA94" s="337"/>
      <c r="AB94" s="337"/>
      <c r="AC94" s="337"/>
    </row>
    <row r="95" spans="2:29" ht="30" customHeight="1">
      <c r="B95" s="290"/>
      <c r="C95" s="291"/>
      <c r="D95" s="291"/>
      <c r="E95" s="291"/>
      <c r="F95" s="289"/>
      <c r="G95" s="289"/>
      <c r="H95" s="283"/>
      <c r="I95" s="261"/>
      <c r="J95" s="264"/>
      <c r="K95" s="53" t="s">
        <v>35</v>
      </c>
      <c r="L95" s="53" t="s">
        <v>366</v>
      </c>
      <c r="M95" s="87"/>
      <c r="N95" s="306"/>
      <c r="O95" s="325"/>
      <c r="P95" s="283"/>
      <c r="Q95" s="264"/>
      <c r="R95" s="264"/>
      <c r="S95" s="264"/>
      <c r="T95" s="264"/>
      <c r="U95" s="264"/>
      <c r="V95" s="264"/>
      <c r="W95" s="357"/>
      <c r="X95" s="259"/>
      <c r="Y95" s="259"/>
      <c r="Z95" s="264"/>
      <c r="AA95" s="337"/>
      <c r="AB95" s="337"/>
      <c r="AC95" s="337"/>
    </row>
    <row r="96" spans="2:29" ht="42.75" customHeight="1">
      <c r="B96" s="290"/>
      <c r="C96" s="291"/>
      <c r="D96" s="291"/>
      <c r="E96" s="291"/>
      <c r="F96" s="289"/>
      <c r="G96" s="289"/>
      <c r="H96" s="283"/>
      <c r="I96" s="261"/>
      <c r="J96" s="264"/>
      <c r="K96" s="53" t="s">
        <v>36</v>
      </c>
      <c r="L96" s="53" t="s">
        <v>367</v>
      </c>
      <c r="M96" s="87"/>
      <c r="N96" s="306"/>
      <c r="O96" s="325"/>
      <c r="P96" s="283"/>
      <c r="Q96" s="264"/>
      <c r="R96" s="264"/>
      <c r="S96" s="264"/>
      <c r="T96" s="264"/>
      <c r="U96" s="264"/>
      <c r="V96" s="264"/>
      <c r="W96" s="357"/>
      <c r="X96" s="259"/>
      <c r="Y96" s="259"/>
      <c r="Z96" s="264"/>
      <c r="AA96" s="337"/>
      <c r="AB96" s="337"/>
      <c r="AC96" s="337"/>
    </row>
    <row r="97" spans="2:29" ht="30" customHeight="1">
      <c r="B97" s="290"/>
      <c r="C97" s="291"/>
      <c r="D97" s="291"/>
      <c r="E97" s="291"/>
      <c r="F97" s="289"/>
      <c r="G97" s="289"/>
      <c r="H97" s="283"/>
      <c r="I97" s="261"/>
      <c r="J97" s="264"/>
      <c r="K97" s="53" t="s">
        <v>52</v>
      </c>
      <c r="L97" s="53" t="s">
        <v>368</v>
      </c>
      <c r="M97" s="87"/>
      <c r="N97" s="306"/>
      <c r="O97" s="325"/>
      <c r="P97" s="283"/>
      <c r="Q97" s="264"/>
      <c r="R97" s="264"/>
      <c r="S97" s="264"/>
      <c r="T97" s="264"/>
      <c r="U97" s="264"/>
      <c r="V97" s="264"/>
      <c r="W97" s="357"/>
      <c r="X97" s="259"/>
      <c r="Y97" s="259"/>
      <c r="Z97" s="264"/>
      <c r="AA97" s="337"/>
      <c r="AB97" s="337"/>
      <c r="AC97" s="337"/>
    </row>
    <row r="98" spans="2:29" ht="38">
      <c r="B98" s="290"/>
      <c r="C98" s="291"/>
      <c r="D98" s="291"/>
      <c r="E98" s="291"/>
      <c r="F98" s="289"/>
      <c r="G98" s="289"/>
      <c r="H98" s="283"/>
      <c r="I98" s="261"/>
      <c r="J98" s="264"/>
      <c r="K98" s="53" t="s">
        <v>54</v>
      </c>
      <c r="L98" s="53" t="s">
        <v>369</v>
      </c>
      <c r="M98" s="87"/>
      <c r="N98" s="306"/>
      <c r="O98" s="325"/>
      <c r="P98" s="283"/>
      <c r="Q98" s="264"/>
      <c r="R98" s="264"/>
      <c r="S98" s="264"/>
      <c r="T98" s="264"/>
      <c r="U98" s="264"/>
      <c r="V98" s="264"/>
      <c r="W98" s="357"/>
      <c r="X98" s="259"/>
      <c r="Y98" s="259"/>
      <c r="Z98" s="264"/>
      <c r="AA98" s="337"/>
      <c r="AB98" s="337"/>
      <c r="AC98" s="337"/>
    </row>
    <row r="99" spans="2:29" ht="30" customHeight="1">
      <c r="B99" s="290"/>
      <c r="C99" s="291"/>
      <c r="D99" s="291"/>
      <c r="E99" s="291"/>
      <c r="F99" s="289"/>
      <c r="G99" s="289"/>
      <c r="H99" s="288"/>
      <c r="I99" s="261"/>
      <c r="J99" s="238"/>
      <c r="K99" s="54" t="s">
        <v>37</v>
      </c>
      <c r="L99" s="54" t="s">
        <v>38</v>
      </c>
      <c r="M99" s="88"/>
      <c r="N99" s="234"/>
      <c r="O99" s="59"/>
      <c r="P99" s="288"/>
      <c r="Q99" s="238"/>
      <c r="R99" s="238"/>
      <c r="S99" s="238"/>
      <c r="T99" s="238"/>
      <c r="U99" s="238"/>
      <c r="V99" s="238"/>
      <c r="W99" s="358"/>
      <c r="X99" s="242"/>
      <c r="Y99" s="242"/>
      <c r="Z99" s="238"/>
      <c r="AA99" s="338"/>
      <c r="AB99" s="338"/>
      <c r="AC99" s="338"/>
    </row>
    <row r="100" spans="2:29" ht="42.75" customHeight="1">
      <c r="B100" s="359">
        <v>16</v>
      </c>
      <c r="C100" s="291"/>
      <c r="D100" s="291" t="s">
        <v>28</v>
      </c>
      <c r="E100" s="291" t="s">
        <v>28</v>
      </c>
      <c r="F100" s="289" t="str">
        <f>_xlfn.CONCAT(IF(ISBLANK(C100)=FALSE,"MPA, ",""),IF(ISBLANK(D100)=FALSE,"PSA, ",""),IF(ISBLANK(E100)=FALSE,"JP, ",""))</f>
        <v xml:space="preserve">PSA, JP, </v>
      </c>
      <c r="G100" s="289" t="s">
        <v>147</v>
      </c>
      <c r="H100" s="282"/>
      <c r="I100" s="261" t="s">
        <v>148</v>
      </c>
      <c r="J100" s="237"/>
      <c r="K100" s="53" t="s">
        <v>149</v>
      </c>
      <c r="L100" s="53" t="s">
        <v>150</v>
      </c>
      <c r="M100" s="306" t="s">
        <v>151</v>
      </c>
      <c r="N100" s="306" t="s">
        <v>4</v>
      </c>
      <c r="O100" s="57"/>
      <c r="P100" s="289"/>
      <c r="Q100" s="261"/>
      <c r="R100" s="261"/>
      <c r="S100" s="261"/>
      <c r="T100" s="237" t="s">
        <v>28</v>
      </c>
      <c r="U100" s="237"/>
      <c r="V100" s="237" t="s">
        <v>28</v>
      </c>
      <c r="W100" s="356">
        <v>3</v>
      </c>
      <c r="X100" s="241">
        <v>3</v>
      </c>
      <c r="Y100" s="241" t="s">
        <v>100</v>
      </c>
      <c r="Z100" s="237" t="s">
        <v>31</v>
      </c>
      <c r="AA100" s="335"/>
      <c r="AB100" s="335"/>
      <c r="AC100" s="335"/>
    </row>
    <row r="101" spans="2:29" ht="42.75" customHeight="1">
      <c r="B101" s="359"/>
      <c r="C101" s="291"/>
      <c r="D101" s="291"/>
      <c r="E101" s="291"/>
      <c r="F101" s="289"/>
      <c r="G101" s="289"/>
      <c r="H101" s="283"/>
      <c r="I101" s="261"/>
      <c r="J101" s="264"/>
      <c r="K101" s="53" t="s">
        <v>32</v>
      </c>
      <c r="L101" s="53" t="s">
        <v>152</v>
      </c>
      <c r="M101" s="306"/>
      <c r="N101" s="306"/>
      <c r="O101" s="325"/>
      <c r="P101" s="289"/>
      <c r="Q101" s="261"/>
      <c r="R101" s="261"/>
      <c r="S101" s="261"/>
      <c r="T101" s="264"/>
      <c r="U101" s="264"/>
      <c r="V101" s="264"/>
      <c r="W101" s="357"/>
      <c r="X101" s="259"/>
      <c r="Y101" s="259"/>
      <c r="Z101" s="264"/>
      <c r="AA101" s="337"/>
      <c r="AB101" s="337"/>
      <c r="AC101" s="337"/>
    </row>
    <row r="102" spans="2:29" ht="42.75" customHeight="1">
      <c r="B102" s="359"/>
      <c r="C102" s="291"/>
      <c r="D102" s="291"/>
      <c r="E102" s="291"/>
      <c r="F102" s="289"/>
      <c r="G102" s="289"/>
      <c r="H102" s="283"/>
      <c r="I102" s="261"/>
      <c r="J102" s="264"/>
      <c r="K102" s="53" t="s">
        <v>33</v>
      </c>
      <c r="L102" s="53" t="s">
        <v>34</v>
      </c>
      <c r="M102" s="306"/>
      <c r="N102" s="306"/>
      <c r="O102" s="325"/>
      <c r="P102" s="289"/>
      <c r="Q102" s="261"/>
      <c r="R102" s="261"/>
      <c r="S102" s="261"/>
      <c r="T102" s="264"/>
      <c r="U102" s="264"/>
      <c r="V102" s="264"/>
      <c r="W102" s="357"/>
      <c r="X102" s="259"/>
      <c r="Y102" s="259"/>
      <c r="Z102" s="264"/>
      <c r="AA102" s="337"/>
      <c r="AB102" s="337"/>
      <c r="AC102" s="337"/>
    </row>
    <row r="103" spans="2:29" ht="42.75" customHeight="1">
      <c r="B103" s="359"/>
      <c r="C103" s="291"/>
      <c r="D103" s="291"/>
      <c r="E103" s="291"/>
      <c r="F103" s="289"/>
      <c r="G103" s="289"/>
      <c r="H103" s="283"/>
      <c r="I103" s="261"/>
      <c r="J103" s="264"/>
      <c r="K103" s="53" t="s">
        <v>50</v>
      </c>
      <c r="L103" s="53" t="s">
        <v>153</v>
      </c>
      <c r="M103" s="306"/>
      <c r="N103" s="306"/>
      <c r="O103" s="325"/>
      <c r="P103" s="289"/>
      <c r="Q103" s="261"/>
      <c r="R103" s="261"/>
      <c r="S103" s="261"/>
      <c r="T103" s="264"/>
      <c r="U103" s="264"/>
      <c r="V103" s="264"/>
      <c r="W103" s="357"/>
      <c r="X103" s="259"/>
      <c r="Y103" s="259"/>
      <c r="Z103" s="264"/>
      <c r="AA103" s="337"/>
      <c r="AB103" s="337"/>
      <c r="AC103" s="337"/>
    </row>
    <row r="104" spans="2:29" ht="42.75" customHeight="1">
      <c r="B104" s="359"/>
      <c r="C104" s="291"/>
      <c r="D104" s="291"/>
      <c r="E104" s="291"/>
      <c r="F104" s="289"/>
      <c r="G104" s="289"/>
      <c r="H104" s="283"/>
      <c r="I104" s="261"/>
      <c r="J104" s="264"/>
      <c r="K104" s="53" t="s">
        <v>126</v>
      </c>
      <c r="L104" s="53" t="s">
        <v>154</v>
      </c>
      <c r="M104" s="306"/>
      <c r="N104" s="306"/>
      <c r="O104" s="325"/>
      <c r="P104" s="289"/>
      <c r="Q104" s="261"/>
      <c r="R104" s="261"/>
      <c r="S104" s="261"/>
      <c r="T104" s="264"/>
      <c r="U104" s="264"/>
      <c r="V104" s="264"/>
      <c r="W104" s="357"/>
      <c r="X104" s="259"/>
      <c r="Y104" s="259"/>
      <c r="Z104" s="264"/>
      <c r="AA104" s="337"/>
      <c r="AB104" s="337"/>
      <c r="AC104" s="337"/>
    </row>
    <row r="105" spans="2:29" ht="42.75" customHeight="1">
      <c r="B105" s="359"/>
      <c r="C105" s="291"/>
      <c r="D105" s="291"/>
      <c r="E105" s="291"/>
      <c r="F105" s="289"/>
      <c r="G105" s="289"/>
      <c r="H105" s="283"/>
      <c r="I105" s="261"/>
      <c r="J105" s="264"/>
      <c r="K105" s="53" t="s">
        <v>51</v>
      </c>
      <c r="L105" s="53" t="s">
        <v>155</v>
      </c>
      <c r="M105" s="306"/>
      <c r="N105" s="306"/>
      <c r="O105" s="57"/>
      <c r="P105" s="289"/>
      <c r="Q105" s="261"/>
      <c r="R105" s="261"/>
      <c r="S105" s="261"/>
      <c r="T105" s="264"/>
      <c r="U105" s="264"/>
      <c r="V105" s="264"/>
      <c r="W105" s="357"/>
      <c r="X105" s="259"/>
      <c r="Y105" s="259"/>
      <c r="Z105" s="264"/>
      <c r="AA105" s="337"/>
      <c r="AB105" s="337"/>
      <c r="AC105" s="337"/>
    </row>
    <row r="106" spans="2:29" ht="42.75" customHeight="1">
      <c r="B106" s="359"/>
      <c r="C106" s="291"/>
      <c r="D106" s="291"/>
      <c r="E106" s="291"/>
      <c r="F106" s="289"/>
      <c r="G106" s="289"/>
      <c r="H106" s="283"/>
      <c r="I106" s="261"/>
      <c r="J106" s="264"/>
      <c r="K106" s="53" t="s">
        <v>35</v>
      </c>
      <c r="L106" s="53" t="s">
        <v>156</v>
      </c>
      <c r="M106" s="306"/>
      <c r="N106" s="306"/>
      <c r="O106" s="325"/>
      <c r="P106" s="289"/>
      <c r="Q106" s="261"/>
      <c r="R106" s="261"/>
      <c r="S106" s="261"/>
      <c r="T106" s="264"/>
      <c r="U106" s="264"/>
      <c r="V106" s="264"/>
      <c r="W106" s="357"/>
      <c r="X106" s="259"/>
      <c r="Y106" s="259"/>
      <c r="Z106" s="264"/>
      <c r="AA106" s="337"/>
      <c r="AB106" s="337"/>
      <c r="AC106" s="337"/>
    </row>
    <row r="107" spans="2:29" ht="42.75" customHeight="1">
      <c r="B107" s="359"/>
      <c r="C107" s="291"/>
      <c r="D107" s="291"/>
      <c r="E107" s="291"/>
      <c r="F107" s="289"/>
      <c r="G107" s="289"/>
      <c r="H107" s="283"/>
      <c r="I107" s="261"/>
      <c r="J107" s="264"/>
      <c r="K107" s="53" t="s">
        <v>36</v>
      </c>
      <c r="L107" s="53" t="s">
        <v>157</v>
      </c>
      <c r="M107" s="55" t="s">
        <v>158</v>
      </c>
      <c r="N107" s="306"/>
      <c r="O107" s="325"/>
      <c r="P107" s="289"/>
      <c r="Q107" s="261"/>
      <c r="R107" s="261"/>
      <c r="S107" s="261"/>
      <c r="T107" s="264"/>
      <c r="U107" s="264"/>
      <c r="V107" s="264"/>
      <c r="W107" s="357"/>
      <c r="X107" s="259"/>
      <c r="Y107" s="259"/>
      <c r="Z107" s="264"/>
      <c r="AA107" s="337"/>
      <c r="AB107" s="337"/>
      <c r="AC107" s="337"/>
    </row>
    <row r="108" spans="2:29" ht="42.75" customHeight="1">
      <c r="B108" s="359"/>
      <c r="C108" s="291"/>
      <c r="D108" s="291"/>
      <c r="E108" s="291"/>
      <c r="F108" s="289"/>
      <c r="G108" s="289"/>
      <c r="H108" s="288"/>
      <c r="I108" s="261"/>
      <c r="J108" s="238"/>
      <c r="K108" s="53" t="s">
        <v>37</v>
      </c>
      <c r="L108" s="53" t="s">
        <v>60</v>
      </c>
      <c r="M108" s="55" t="s">
        <v>159</v>
      </c>
      <c r="N108" s="306"/>
      <c r="O108" s="57"/>
      <c r="P108" s="289"/>
      <c r="Q108" s="261"/>
      <c r="R108" s="261"/>
      <c r="S108" s="261"/>
      <c r="T108" s="238"/>
      <c r="U108" s="238"/>
      <c r="V108" s="238"/>
      <c r="W108" s="358"/>
      <c r="X108" s="242"/>
      <c r="Y108" s="242"/>
      <c r="Z108" s="238"/>
      <c r="AA108" s="338"/>
      <c r="AB108" s="338"/>
      <c r="AC108" s="338"/>
    </row>
    <row r="109" spans="2:29" ht="180.75" customHeight="1">
      <c r="B109" s="292">
        <v>17</v>
      </c>
      <c r="C109" s="246"/>
      <c r="D109" s="246" t="s">
        <v>28</v>
      </c>
      <c r="E109" s="246"/>
      <c r="F109" s="224" t="str">
        <f>_xlfn.CONCAT(IF(ISBLANK(C109)=FALSE,"MPA, ",""),IF(ISBLANK(D109)=FALSE,"PSA, ",""),IF(ISBLANK(E109)=FALSE,"JP, ",""))</f>
        <v xml:space="preserve">PSA, </v>
      </c>
      <c r="G109" s="224" t="s">
        <v>160</v>
      </c>
      <c r="H109" s="225"/>
      <c r="I109" s="261" t="s">
        <v>161</v>
      </c>
      <c r="J109" s="237"/>
      <c r="K109" s="41" t="s">
        <v>162</v>
      </c>
      <c r="L109" s="51" t="s">
        <v>163</v>
      </c>
      <c r="M109" s="38" t="s">
        <v>164</v>
      </c>
      <c r="N109" s="38" t="s">
        <v>165</v>
      </c>
      <c r="O109" s="52"/>
      <c r="P109" s="266"/>
      <c r="Q109" s="237" t="s">
        <v>28</v>
      </c>
      <c r="R109" s="237"/>
      <c r="S109" s="237"/>
      <c r="T109" s="237" t="s">
        <v>28</v>
      </c>
      <c r="U109" s="237"/>
      <c r="V109" s="237" t="s">
        <v>28</v>
      </c>
      <c r="W109" s="239">
        <v>3</v>
      </c>
      <c r="X109" s="241">
        <v>3</v>
      </c>
      <c r="Y109" s="241">
        <v>3</v>
      </c>
      <c r="Z109" s="243" t="s">
        <v>31</v>
      </c>
      <c r="AA109" s="228"/>
      <c r="AB109" s="228"/>
      <c r="AC109" s="228"/>
    </row>
    <row r="110" spans="2:29" ht="38">
      <c r="B110" s="292"/>
      <c r="C110" s="246"/>
      <c r="D110" s="246"/>
      <c r="E110" s="246"/>
      <c r="F110" s="224"/>
      <c r="G110" s="224"/>
      <c r="H110" s="227"/>
      <c r="I110" s="261"/>
      <c r="J110" s="238"/>
      <c r="K110" s="35" t="s">
        <v>121</v>
      </c>
      <c r="L110" s="36" t="s">
        <v>166</v>
      </c>
      <c r="M110" s="33" t="s">
        <v>167</v>
      </c>
      <c r="N110" s="33" t="s">
        <v>4</v>
      </c>
      <c r="O110" s="32"/>
      <c r="P110" s="268"/>
      <c r="Q110" s="238"/>
      <c r="R110" s="238"/>
      <c r="S110" s="238"/>
      <c r="T110" s="238"/>
      <c r="U110" s="238"/>
      <c r="V110" s="238"/>
      <c r="W110" s="240"/>
      <c r="X110" s="242"/>
      <c r="Y110" s="242"/>
      <c r="Z110" s="244"/>
      <c r="AA110" s="229"/>
      <c r="AB110" s="229"/>
      <c r="AC110" s="229"/>
    </row>
    <row r="111" spans="2:29" ht="76">
      <c r="B111" s="248">
        <v>18</v>
      </c>
      <c r="C111" s="70"/>
      <c r="D111" s="70"/>
      <c r="E111" s="76" t="s">
        <v>28</v>
      </c>
      <c r="F111" s="225" t="str">
        <f>_xlfn.CONCAT(IF(ISBLANK(C111)=FALSE,"MPA, ",""),IF(ISBLANK(D111)=FALSE,"PSA, ",""),IF(ISBLANK(E111)=FALSE,"JP, ",""))</f>
        <v xml:space="preserve">JP, </v>
      </c>
      <c r="G111" s="71" t="s">
        <v>168</v>
      </c>
      <c r="H111" s="71"/>
      <c r="I111" s="72" t="s">
        <v>169</v>
      </c>
      <c r="J111" s="72"/>
      <c r="K111" s="53" t="s">
        <v>57</v>
      </c>
      <c r="L111" s="53" t="s">
        <v>170</v>
      </c>
      <c r="M111" s="234" t="s">
        <v>145</v>
      </c>
      <c r="N111" s="234" t="s">
        <v>171</v>
      </c>
      <c r="O111" s="57"/>
      <c r="P111" s="47"/>
      <c r="Q111" s="72"/>
      <c r="R111" s="72"/>
      <c r="S111" s="72"/>
      <c r="T111" s="72" t="s">
        <v>28</v>
      </c>
      <c r="U111" s="72"/>
      <c r="V111" s="72"/>
      <c r="W111" s="74">
        <v>1</v>
      </c>
      <c r="X111" s="73">
        <v>3</v>
      </c>
      <c r="Y111" s="73">
        <v>3</v>
      </c>
      <c r="Z111" s="75"/>
      <c r="AA111" s="48"/>
      <c r="AB111" s="48"/>
      <c r="AC111" s="48"/>
    </row>
    <row r="112" spans="2:29" ht="43.5" customHeight="1">
      <c r="B112" s="250"/>
      <c r="C112" s="85"/>
      <c r="D112" s="85"/>
      <c r="E112" s="84"/>
      <c r="F112" s="227"/>
      <c r="G112" s="86"/>
      <c r="H112" s="71"/>
      <c r="I112" s="89"/>
      <c r="J112" s="89"/>
      <c r="K112" s="53" t="s">
        <v>371</v>
      </c>
      <c r="L112" s="53" t="s">
        <v>370</v>
      </c>
      <c r="M112" s="236"/>
      <c r="N112" s="236"/>
      <c r="O112" s="57"/>
      <c r="P112" s="93"/>
      <c r="Q112" s="89"/>
      <c r="R112" s="89"/>
      <c r="S112" s="89"/>
      <c r="T112" s="89"/>
      <c r="U112" s="89"/>
      <c r="V112" s="89"/>
      <c r="W112" s="90"/>
      <c r="X112" s="91"/>
      <c r="Y112" s="91"/>
      <c r="Z112" s="92"/>
      <c r="AA112" s="83"/>
      <c r="AB112" s="83"/>
      <c r="AC112" s="83"/>
    </row>
    <row r="113" spans="2:29" ht="54" customHeight="1">
      <c r="B113" s="248">
        <v>19</v>
      </c>
      <c r="C113" s="232"/>
      <c r="D113" s="230" t="s">
        <v>28</v>
      </c>
      <c r="E113" s="232"/>
      <c r="F113" s="225" t="str">
        <f t="shared" ref="F113:F118" si="0">_xlfn.CONCAT(IF(ISBLANK(C113)=FALSE,"MPA, ",""),IF(ISBLANK(D113)=FALSE,"PSA, ",""),IF(ISBLANK(E113)=FALSE,"JP, ",""))</f>
        <v xml:space="preserve">PSA, </v>
      </c>
      <c r="G113" s="275" t="s">
        <v>172</v>
      </c>
      <c r="H113" s="77"/>
      <c r="I113" s="271" t="s">
        <v>173</v>
      </c>
      <c r="J113" s="237"/>
      <c r="K113" s="53" t="s">
        <v>333</v>
      </c>
      <c r="L113" s="53" t="s">
        <v>372</v>
      </c>
      <c r="M113" s="234" t="s">
        <v>334</v>
      </c>
      <c r="N113" s="234" t="s">
        <v>3</v>
      </c>
      <c r="O113" s="57"/>
      <c r="P113" s="266"/>
      <c r="Q113" s="237"/>
      <c r="R113" s="237"/>
      <c r="S113" s="237"/>
      <c r="T113" s="237" t="s">
        <v>28</v>
      </c>
      <c r="U113" s="237"/>
      <c r="V113" s="237"/>
      <c r="W113" s="239">
        <v>2</v>
      </c>
      <c r="X113" s="241"/>
      <c r="Y113" s="241"/>
      <c r="Z113" s="243"/>
      <c r="AA113" s="228"/>
      <c r="AB113" s="228"/>
      <c r="AC113" s="228"/>
    </row>
    <row r="114" spans="2:29" ht="40.5" customHeight="1">
      <c r="B114" s="249"/>
      <c r="C114" s="254"/>
      <c r="D114" s="273"/>
      <c r="E114" s="254"/>
      <c r="F114" s="226"/>
      <c r="G114" s="276"/>
      <c r="H114" s="77"/>
      <c r="I114" s="274"/>
      <c r="J114" s="264"/>
      <c r="K114" s="53" t="s">
        <v>174</v>
      </c>
      <c r="L114" s="53" t="s">
        <v>175</v>
      </c>
      <c r="M114" s="235"/>
      <c r="N114" s="235"/>
      <c r="O114" s="57"/>
      <c r="P114" s="267"/>
      <c r="Q114" s="264"/>
      <c r="R114" s="264"/>
      <c r="S114" s="264"/>
      <c r="T114" s="264"/>
      <c r="U114" s="264"/>
      <c r="V114" s="264"/>
      <c r="W114" s="265"/>
      <c r="X114" s="259"/>
      <c r="Y114" s="259"/>
      <c r="Z114" s="260"/>
      <c r="AA114" s="247"/>
      <c r="AB114" s="247"/>
      <c r="AC114" s="247"/>
    </row>
    <row r="115" spans="2:29" ht="39" customHeight="1">
      <c r="B115" s="250"/>
      <c r="C115" s="233"/>
      <c r="D115" s="231"/>
      <c r="E115" s="233"/>
      <c r="F115" s="227"/>
      <c r="G115" s="277"/>
      <c r="H115" s="77"/>
      <c r="I115" s="272"/>
      <c r="J115" s="238"/>
      <c r="K115" s="53" t="s">
        <v>177</v>
      </c>
      <c r="L115" s="53" t="s">
        <v>178</v>
      </c>
      <c r="M115" s="236"/>
      <c r="N115" s="236"/>
      <c r="O115" s="57"/>
      <c r="P115" s="268"/>
      <c r="Q115" s="238"/>
      <c r="R115" s="238"/>
      <c r="S115" s="238"/>
      <c r="T115" s="238"/>
      <c r="U115" s="238"/>
      <c r="V115" s="238"/>
      <c r="W115" s="240"/>
      <c r="X115" s="242"/>
      <c r="Y115" s="242"/>
      <c r="Z115" s="244"/>
      <c r="AA115" s="229"/>
      <c r="AB115" s="229"/>
      <c r="AC115" s="229"/>
    </row>
    <row r="116" spans="2:29" ht="51.75" customHeight="1">
      <c r="B116" s="248">
        <v>20</v>
      </c>
      <c r="C116" s="230" t="s">
        <v>28</v>
      </c>
      <c r="D116" s="232"/>
      <c r="E116" s="232"/>
      <c r="F116" s="225" t="str">
        <f t="shared" si="0"/>
        <v xml:space="preserve">MPA, </v>
      </c>
      <c r="G116" s="269" t="s">
        <v>317</v>
      </c>
      <c r="H116" s="77"/>
      <c r="I116" s="271" t="s">
        <v>316</v>
      </c>
      <c r="J116" s="237"/>
      <c r="K116" s="53" t="s">
        <v>179</v>
      </c>
      <c r="L116" s="53" t="s">
        <v>180</v>
      </c>
      <c r="M116" s="55" t="s">
        <v>336</v>
      </c>
      <c r="N116" s="234" t="s">
        <v>2</v>
      </c>
      <c r="O116" s="57"/>
      <c r="P116" s="266"/>
      <c r="Q116" s="237"/>
      <c r="R116" s="237"/>
      <c r="S116" s="237"/>
      <c r="T116" s="237" t="s">
        <v>28</v>
      </c>
      <c r="U116" s="237"/>
      <c r="V116" s="237"/>
      <c r="W116" s="239">
        <v>1</v>
      </c>
      <c r="X116" s="241"/>
      <c r="Y116" s="241"/>
      <c r="Z116" s="243"/>
      <c r="AA116" s="228"/>
      <c r="AB116" s="228"/>
      <c r="AC116" s="228"/>
    </row>
    <row r="117" spans="2:29" ht="38">
      <c r="B117" s="250"/>
      <c r="C117" s="231"/>
      <c r="D117" s="233"/>
      <c r="E117" s="233"/>
      <c r="F117" s="227"/>
      <c r="G117" s="270"/>
      <c r="H117" s="77"/>
      <c r="I117" s="272"/>
      <c r="J117" s="238"/>
      <c r="K117" s="53" t="s">
        <v>174</v>
      </c>
      <c r="L117" s="53" t="s">
        <v>181</v>
      </c>
      <c r="M117" s="55" t="s">
        <v>335</v>
      </c>
      <c r="N117" s="236"/>
      <c r="O117" s="57"/>
      <c r="P117" s="268"/>
      <c r="Q117" s="238"/>
      <c r="R117" s="238"/>
      <c r="S117" s="238"/>
      <c r="T117" s="238"/>
      <c r="U117" s="238"/>
      <c r="V117" s="238"/>
      <c r="W117" s="240"/>
      <c r="X117" s="242"/>
      <c r="Y117" s="242"/>
      <c r="Z117" s="244"/>
      <c r="AA117" s="229"/>
      <c r="AB117" s="229"/>
      <c r="AC117" s="229"/>
    </row>
    <row r="118" spans="2:29" ht="46.5" customHeight="1">
      <c r="B118" s="292">
        <v>21</v>
      </c>
      <c r="C118" s="246"/>
      <c r="D118" s="246"/>
      <c r="E118" s="245" t="s">
        <v>28</v>
      </c>
      <c r="F118" s="224" t="str">
        <f t="shared" si="0"/>
        <v xml:space="preserve">JP, </v>
      </c>
      <c r="G118" s="263" t="s">
        <v>182</v>
      </c>
      <c r="H118" s="77"/>
      <c r="I118" s="262" t="s">
        <v>183</v>
      </c>
      <c r="J118" s="261"/>
      <c r="K118" s="53" t="s">
        <v>174</v>
      </c>
      <c r="L118" s="53" t="s">
        <v>184</v>
      </c>
      <c r="M118" s="234" t="s">
        <v>337</v>
      </c>
      <c r="N118" s="234" t="s">
        <v>171</v>
      </c>
      <c r="O118" s="57"/>
      <c r="P118" s="266"/>
      <c r="Q118" s="237"/>
      <c r="R118" s="237"/>
      <c r="S118" s="237"/>
      <c r="T118" s="237" t="s">
        <v>28</v>
      </c>
      <c r="U118" s="237"/>
      <c r="V118" s="237"/>
      <c r="W118" s="239">
        <v>2</v>
      </c>
      <c r="X118" s="241"/>
      <c r="Y118" s="241"/>
      <c r="Z118" s="243"/>
      <c r="AA118" s="228"/>
      <c r="AB118" s="228"/>
      <c r="AC118" s="228"/>
    </row>
    <row r="119" spans="2:29" ht="44.25" customHeight="1">
      <c r="B119" s="292"/>
      <c r="C119" s="246"/>
      <c r="D119" s="246"/>
      <c r="E119" s="245"/>
      <c r="F119" s="224"/>
      <c r="G119" s="263"/>
      <c r="H119" s="77"/>
      <c r="I119" s="262"/>
      <c r="J119" s="261"/>
      <c r="K119" s="53" t="s">
        <v>185</v>
      </c>
      <c r="L119" s="53" t="s">
        <v>373</v>
      </c>
      <c r="M119" s="235"/>
      <c r="N119" s="235"/>
      <c r="O119" s="57"/>
      <c r="P119" s="267"/>
      <c r="Q119" s="264"/>
      <c r="R119" s="264"/>
      <c r="S119" s="264"/>
      <c r="T119" s="264"/>
      <c r="U119" s="264"/>
      <c r="V119" s="264"/>
      <c r="W119" s="265"/>
      <c r="X119" s="259"/>
      <c r="Y119" s="259"/>
      <c r="Z119" s="260"/>
      <c r="AA119" s="247"/>
      <c r="AB119" s="247"/>
      <c r="AC119" s="247"/>
    </row>
    <row r="120" spans="2:29" ht="36" customHeight="1">
      <c r="B120" s="292"/>
      <c r="C120" s="246"/>
      <c r="D120" s="246"/>
      <c r="E120" s="245"/>
      <c r="F120" s="224"/>
      <c r="G120" s="263"/>
      <c r="H120" s="77"/>
      <c r="I120" s="262"/>
      <c r="J120" s="261"/>
      <c r="K120" s="53" t="s">
        <v>176</v>
      </c>
      <c r="L120" s="53" t="s">
        <v>186</v>
      </c>
      <c r="M120" s="235"/>
      <c r="N120" s="235"/>
      <c r="O120" s="57"/>
      <c r="P120" s="267"/>
      <c r="Q120" s="264"/>
      <c r="R120" s="264"/>
      <c r="S120" s="264"/>
      <c r="T120" s="264"/>
      <c r="U120" s="264"/>
      <c r="V120" s="264"/>
      <c r="W120" s="265"/>
      <c r="X120" s="259"/>
      <c r="Y120" s="259"/>
      <c r="Z120" s="260"/>
      <c r="AA120" s="247"/>
      <c r="AB120" s="247"/>
      <c r="AC120" s="247"/>
    </row>
    <row r="121" spans="2:29" ht="66" customHeight="1">
      <c r="B121" s="292"/>
      <c r="C121" s="246"/>
      <c r="D121" s="246"/>
      <c r="E121" s="245"/>
      <c r="F121" s="224"/>
      <c r="G121" s="263"/>
      <c r="H121" s="77"/>
      <c r="I121" s="262"/>
      <c r="J121" s="261"/>
      <c r="K121" s="53" t="s">
        <v>187</v>
      </c>
      <c r="L121" s="78" t="s">
        <v>338</v>
      </c>
      <c r="M121" s="235"/>
      <c r="N121" s="235"/>
      <c r="O121" s="57"/>
      <c r="P121" s="267"/>
      <c r="Q121" s="264"/>
      <c r="R121" s="264"/>
      <c r="S121" s="264"/>
      <c r="T121" s="264"/>
      <c r="U121" s="264"/>
      <c r="V121" s="264"/>
      <c r="W121" s="265"/>
      <c r="X121" s="259"/>
      <c r="Y121" s="259"/>
      <c r="Z121" s="260"/>
      <c r="AA121" s="247"/>
      <c r="AB121" s="247"/>
      <c r="AC121" s="247"/>
    </row>
    <row r="122" spans="2:29" ht="45" customHeight="1">
      <c r="B122" s="292"/>
      <c r="C122" s="246"/>
      <c r="D122" s="246"/>
      <c r="E122" s="245"/>
      <c r="F122" s="224"/>
      <c r="G122" s="263"/>
      <c r="H122" s="77"/>
      <c r="I122" s="262"/>
      <c r="J122" s="261"/>
      <c r="K122" s="53" t="s">
        <v>188</v>
      </c>
      <c r="L122" s="53" t="s">
        <v>189</v>
      </c>
      <c r="M122" s="235"/>
      <c r="N122" s="235"/>
      <c r="O122" s="57"/>
      <c r="P122" s="267"/>
      <c r="Q122" s="264"/>
      <c r="R122" s="264"/>
      <c r="S122" s="264"/>
      <c r="T122" s="264"/>
      <c r="U122" s="264"/>
      <c r="V122" s="264"/>
      <c r="W122" s="265"/>
      <c r="X122" s="259"/>
      <c r="Y122" s="259"/>
      <c r="Z122" s="260"/>
      <c r="AA122" s="247"/>
      <c r="AB122" s="247"/>
      <c r="AC122" s="247"/>
    </row>
    <row r="123" spans="2:29" ht="43.5" customHeight="1">
      <c r="B123" s="292"/>
      <c r="C123" s="246"/>
      <c r="D123" s="246"/>
      <c r="E123" s="245"/>
      <c r="F123" s="224"/>
      <c r="G123" s="263"/>
      <c r="H123" s="77"/>
      <c r="I123" s="262"/>
      <c r="J123" s="261"/>
      <c r="K123" s="53" t="s">
        <v>190</v>
      </c>
      <c r="L123" s="53" t="s">
        <v>191</v>
      </c>
      <c r="M123" s="235"/>
      <c r="N123" s="235"/>
      <c r="O123" s="57"/>
      <c r="P123" s="267"/>
      <c r="Q123" s="264"/>
      <c r="R123" s="264"/>
      <c r="S123" s="264"/>
      <c r="T123" s="264"/>
      <c r="U123" s="264"/>
      <c r="V123" s="264"/>
      <c r="W123" s="265"/>
      <c r="X123" s="259"/>
      <c r="Y123" s="259"/>
      <c r="Z123" s="260"/>
      <c r="AA123" s="247"/>
      <c r="AB123" s="247"/>
      <c r="AC123" s="247"/>
    </row>
    <row r="124" spans="2:29" ht="41.25" customHeight="1">
      <c r="B124" s="292"/>
      <c r="C124" s="246"/>
      <c r="D124" s="246"/>
      <c r="E124" s="245"/>
      <c r="F124" s="224"/>
      <c r="G124" s="263"/>
      <c r="H124" s="77"/>
      <c r="I124" s="262"/>
      <c r="J124" s="261"/>
      <c r="K124" s="53" t="s">
        <v>192</v>
      </c>
      <c r="L124" s="53" t="s">
        <v>193</v>
      </c>
      <c r="M124" s="236"/>
      <c r="N124" s="236"/>
      <c r="O124" s="57"/>
      <c r="P124" s="268"/>
      <c r="Q124" s="238"/>
      <c r="R124" s="238"/>
      <c r="S124" s="238"/>
      <c r="T124" s="238"/>
      <c r="U124" s="238"/>
      <c r="V124" s="238"/>
      <c r="W124" s="240"/>
      <c r="X124" s="242"/>
      <c r="Y124" s="242"/>
      <c r="Z124" s="244"/>
      <c r="AA124" s="229"/>
      <c r="AB124" s="229"/>
      <c r="AC124" s="229"/>
    </row>
    <row r="125" spans="2:29" ht="42.75" customHeight="1">
      <c r="W125" s="49"/>
    </row>
    <row r="126" spans="2:29" ht="42.75" customHeight="1">
      <c r="B126" s="42" t="s">
        <v>194</v>
      </c>
      <c r="C126" s="43"/>
    </row>
    <row r="127" spans="2:29" ht="42.75" customHeight="1">
      <c r="B127" s="44" t="s">
        <v>195</v>
      </c>
    </row>
    <row r="128" spans="2:29" ht="42.75" customHeight="1">
      <c r="B128" s="45" t="s">
        <v>196</v>
      </c>
    </row>
  </sheetData>
  <autoFilter ref="B2:AC111" xr:uid="{D1AA9E5B-F43F-41A7-B8FF-84F91F5B2A9A}"/>
  <mergeCells count="516">
    <mergeCell ref="AC25:AC28"/>
    <mergeCell ref="W29:W35"/>
    <mergeCell ref="X29:X35"/>
    <mergeCell ref="Y29:Y35"/>
    <mergeCell ref="Z29:Z35"/>
    <mergeCell ref="R29:R35"/>
    <mergeCell ref="S29:S35"/>
    <mergeCell ref="AA29:AA35"/>
    <mergeCell ref="AB29:AB35"/>
    <mergeCell ref="AC29:AC35"/>
    <mergeCell ref="U29:U35"/>
    <mergeCell ref="V29:V35"/>
    <mergeCell ref="Y25:Y28"/>
    <mergeCell ref="T29:T35"/>
    <mergeCell ref="S25:S28"/>
    <mergeCell ref="T25:T28"/>
    <mergeCell ref="Z25:Z28"/>
    <mergeCell ref="AA25:AA28"/>
    <mergeCell ref="AB25:AB28"/>
    <mergeCell ref="U40:U46"/>
    <mergeCell ref="AC36:AC39"/>
    <mergeCell ref="Q36:Q39"/>
    <mergeCell ref="AA40:AA46"/>
    <mergeCell ref="AB40:AB46"/>
    <mergeCell ref="X36:X39"/>
    <mergeCell ref="Y36:Y39"/>
    <mergeCell ref="Z36:Z39"/>
    <mergeCell ref="AA36:AA39"/>
    <mergeCell ref="AB36:AB39"/>
    <mergeCell ref="R36:R39"/>
    <mergeCell ref="S36:S39"/>
    <mergeCell ref="T36:T39"/>
    <mergeCell ref="U36:U39"/>
    <mergeCell ref="V36:V39"/>
    <mergeCell ref="Y40:Y46"/>
    <mergeCell ref="Z40:Z46"/>
    <mergeCell ref="W36:W39"/>
    <mergeCell ref="R109:R110"/>
    <mergeCell ref="AA100:AA108"/>
    <mergeCell ref="AB100:AB108"/>
    <mergeCell ref="AC100:AC108"/>
    <mergeCell ref="AC87:AC99"/>
    <mergeCell ref="AA85:AA86"/>
    <mergeCell ref="AB85:AB86"/>
    <mergeCell ref="AC85:AC86"/>
    <mergeCell ref="H109:H110"/>
    <mergeCell ref="I109:I110"/>
    <mergeCell ref="J109:J110"/>
    <mergeCell ref="P109:P110"/>
    <mergeCell ref="Q109:Q110"/>
    <mergeCell ref="O87:O90"/>
    <mergeCell ref="O92:O93"/>
    <mergeCell ref="O94:O96"/>
    <mergeCell ref="O97:O98"/>
    <mergeCell ref="M100:M106"/>
    <mergeCell ref="N100:N108"/>
    <mergeCell ref="Y87:Y99"/>
    <mergeCell ref="Z87:Z99"/>
    <mergeCell ref="AA87:AA99"/>
    <mergeCell ref="AB87:AB99"/>
    <mergeCell ref="R87:R99"/>
    <mergeCell ref="AC70:AC80"/>
    <mergeCell ref="W70:W80"/>
    <mergeCell ref="M47:M50"/>
    <mergeCell ref="N47:N56"/>
    <mergeCell ref="O47:O48"/>
    <mergeCell ref="Y109:Y110"/>
    <mergeCell ref="Z109:Z110"/>
    <mergeCell ref="AA109:AA110"/>
    <mergeCell ref="S109:S110"/>
    <mergeCell ref="T109:T110"/>
    <mergeCell ref="U109:U110"/>
    <mergeCell ref="V109:V110"/>
    <mergeCell ref="W109:W110"/>
    <mergeCell ref="X109:X110"/>
    <mergeCell ref="X70:X80"/>
    <mergeCell ref="Y70:Y80"/>
    <mergeCell ref="Z70:Z80"/>
    <mergeCell ref="AC63:AC69"/>
    <mergeCell ref="AA63:AA69"/>
    <mergeCell ref="AB63:AB69"/>
    <mergeCell ref="Z60:Z62"/>
    <mergeCell ref="AA60:AA62"/>
    <mergeCell ref="AB109:AB110"/>
    <mergeCell ref="AC109:AC110"/>
    <mergeCell ref="Y100:Y108"/>
    <mergeCell ref="Z100:Z108"/>
    <mergeCell ref="R100:R108"/>
    <mergeCell ref="S100:S108"/>
    <mergeCell ref="T100:T108"/>
    <mergeCell ref="U100:U108"/>
    <mergeCell ref="V100:V108"/>
    <mergeCell ref="W100:W108"/>
    <mergeCell ref="H100:H108"/>
    <mergeCell ref="I100:I108"/>
    <mergeCell ref="J100:J108"/>
    <mergeCell ref="P100:P108"/>
    <mergeCell ref="Q100:Q108"/>
    <mergeCell ref="O101:O102"/>
    <mergeCell ref="O103:O104"/>
    <mergeCell ref="E85:E86"/>
    <mergeCell ref="G85:G86"/>
    <mergeCell ref="N85:N86"/>
    <mergeCell ref="J85:J86"/>
    <mergeCell ref="P85:P86"/>
    <mergeCell ref="Q85:Q86"/>
    <mergeCell ref="B109:B110"/>
    <mergeCell ref="C109:C110"/>
    <mergeCell ref="D109:D110"/>
    <mergeCell ref="E109:E110"/>
    <mergeCell ref="F109:F110"/>
    <mergeCell ref="G109:G110"/>
    <mergeCell ref="B100:B108"/>
    <mergeCell ref="C100:C108"/>
    <mergeCell ref="D100:D108"/>
    <mergeCell ref="E100:E108"/>
    <mergeCell ref="F100:F108"/>
    <mergeCell ref="G100:G108"/>
    <mergeCell ref="X87:X99"/>
    <mergeCell ref="H87:H99"/>
    <mergeCell ref="I87:I99"/>
    <mergeCell ref="J87:J99"/>
    <mergeCell ref="P87:P99"/>
    <mergeCell ref="Q87:Q99"/>
    <mergeCell ref="O106:O107"/>
    <mergeCell ref="N87:N99"/>
    <mergeCell ref="S87:S99"/>
    <mergeCell ref="T87:T99"/>
    <mergeCell ref="U87:U99"/>
    <mergeCell ref="V87:V99"/>
    <mergeCell ref="W87:W99"/>
    <mergeCell ref="X100:X108"/>
    <mergeCell ref="AC81:AC84"/>
    <mergeCell ref="S81:S84"/>
    <mergeCell ref="T81:T84"/>
    <mergeCell ref="U81:U84"/>
    <mergeCell ref="V81:V84"/>
    <mergeCell ref="W81:W84"/>
    <mergeCell ref="X81:X84"/>
    <mergeCell ref="B87:B99"/>
    <mergeCell ref="C87:C99"/>
    <mergeCell ref="D87:D99"/>
    <mergeCell ref="E87:E99"/>
    <mergeCell ref="F87:F99"/>
    <mergeCell ref="G87:G99"/>
    <mergeCell ref="X85:X86"/>
    <mergeCell ref="Y85:Y86"/>
    <mergeCell ref="Z85:Z86"/>
    <mergeCell ref="R85:R86"/>
    <mergeCell ref="S85:S86"/>
    <mergeCell ref="T85:T86"/>
    <mergeCell ref="U85:U86"/>
    <mergeCell ref="V85:V86"/>
    <mergeCell ref="W85:W86"/>
    <mergeCell ref="H85:H86"/>
    <mergeCell ref="I85:I86"/>
    <mergeCell ref="AA81:AA84"/>
    <mergeCell ref="AB81:AB84"/>
    <mergeCell ref="AA70:AA80"/>
    <mergeCell ref="AB70:AB80"/>
    <mergeCell ref="Y81:Y84"/>
    <mergeCell ref="Z81:Z84"/>
    <mergeCell ref="I81:I84"/>
    <mergeCell ref="J81:J84"/>
    <mergeCell ref="P81:P84"/>
    <mergeCell ref="Q81:Q84"/>
    <mergeCell ref="R81:R84"/>
    <mergeCell ref="M82:M83"/>
    <mergeCell ref="N81:N84"/>
    <mergeCell ref="V70:V80"/>
    <mergeCell ref="K70:K71"/>
    <mergeCell ref="N70:N80"/>
    <mergeCell ref="O70:O71"/>
    <mergeCell ref="O74:O75"/>
    <mergeCell ref="J70:J80"/>
    <mergeCell ref="P70:P80"/>
    <mergeCell ref="Q70:Q80"/>
    <mergeCell ref="R70:R80"/>
    <mergeCell ref="O63:O64"/>
    <mergeCell ref="W63:W69"/>
    <mergeCell ref="X63:X69"/>
    <mergeCell ref="Y63:Y69"/>
    <mergeCell ref="M70:M74"/>
    <mergeCell ref="U70:U80"/>
    <mergeCell ref="Z63:Z69"/>
    <mergeCell ref="Q63:Q69"/>
    <mergeCell ref="R63:R69"/>
    <mergeCell ref="S63:S69"/>
    <mergeCell ref="T63:T69"/>
    <mergeCell ref="U63:U69"/>
    <mergeCell ref="V63:V69"/>
    <mergeCell ref="I63:I69"/>
    <mergeCell ref="J63:J69"/>
    <mergeCell ref="P63:P69"/>
    <mergeCell ref="AC47:AC56"/>
    <mergeCell ref="Z47:Z56"/>
    <mergeCell ref="AA47:AA56"/>
    <mergeCell ref="X60:X62"/>
    <mergeCell ref="Y60:Y62"/>
    <mergeCell ref="U57:U59"/>
    <mergeCell ref="J60:J62"/>
    <mergeCell ref="P60:P62"/>
    <mergeCell ref="Q60:Q62"/>
    <mergeCell ref="J47:J56"/>
    <mergeCell ref="Y47:Y56"/>
    <mergeCell ref="V47:V56"/>
    <mergeCell ref="AB47:AB56"/>
    <mergeCell ref="W57:W59"/>
    <mergeCell ref="V57:V59"/>
    <mergeCell ref="W47:W56"/>
    <mergeCell ref="Q47:Q56"/>
    <mergeCell ref="R47:R56"/>
    <mergeCell ref="S47:S56"/>
    <mergeCell ref="T47:T56"/>
    <mergeCell ref="P57:P59"/>
    <mergeCell ref="I47:I56"/>
    <mergeCell ref="J36:J39"/>
    <mergeCell ref="C36:C39"/>
    <mergeCell ref="D36:D39"/>
    <mergeCell ref="AB60:AB62"/>
    <mergeCell ref="AC60:AC62"/>
    <mergeCell ref="R60:R62"/>
    <mergeCell ref="S60:S62"/>
    <mergeCell ref="T60:T62"/>
    <mergeCell ref="U60:U62"/>
    <mergeCell ref="V60:V62"/>
    <mergeCell ref="W60:W62"/>
    <mergeCell ref="U47:U56"/>
    <mergeCell ref="X57:X59"/>
    <mergeCell ref="Y57:Y59"/>
    <mergeCell ref="Z57:Z59"/>
    <mergeCell ref="AA57:AA59"/>
    <mergeCell ref="AB57:AB59"/>
    <mergeCell ref="AC57:AC59"/>
    <mergeCell ref="R57:R59"/>
    <mergeCell ref="S57:S59"/>
    <mergeCell ref="E36:E39"/>
    <mergeCell ref="AC40:AC46"/>
    <mergeCell ref="P40:P46"/>
    <mergeCell ref="F36:F39"/>
    <mergeCell ref="B47:B56"/>
    <mergeCell ref="P47:P56"/>
    <mergeCell ref="O49:O50"/>
    <mergeCell ref="M53:M56"/>
    <mergeCell ref="O53:O54"/>
    <mergeCell ref="M45:M46"/>
    <mergeCell ref="N36:N39"/>
    <mergeCell ref="M36:M39"/>
    <mergeCell ref="N40:N43"/>
    <mergeCell ref="O51:O52"/>
    <mergeCell ref="G36:G39"/>
    <mergeCell ref="B36:B39"/>
    <mergeCell ref="H36:H39"/>
    <mergeCell ref="I36:I39"/>
    <mergeCell ref="C47:C56"/>
    <mergeCell ref="D47:D56"/>
    <mergeCell ref="E47:E56"/>
    <mergeCell ref="F47:F56"/>
    <mergeCell ref="H40:H46"/>
    <mergeCell ref="I40:I46"/>
    <mergeCell ref="J40:J46"/>
    <mergeCell ref="C40:C46"/>
    <mergeCell ref="N44:N46"/>
    <mergeCell ref="H29:H35"/>
    <mergeCell ref="H16:H24"/>
    <mergeCell ref="I16:I24"/>
    <mergeCell ref="J16:J24"/>
    <mergeCell ref="P16:P24"/>
    <mergeCell ref="Q16:Q24"/>
    <mergeCell ref="R16:R24"/>
    <mergeCell ref="I29:I35"/>
    <mergeCell ref="H25:H28"/>
    <mergeCell ref="I25:I28"/>
    <mergeCell ref="J25:J28"/>
    <mergeCell ref="P25:P28"/>
    <mergeCell ref="Q25:Q28"/>
    <mergeCell ref="R25:R28"/>
    <mergeCell ref="M16:M17"/>
    <mergeCell ref="M18:M22"/>
    <mergeCell ref="J29:J35"/>
    <mergeCell ref="M23:M24"/>
    <mergeCell ref="N18:N22"/>
    <mergeCell ref="M34:M35"/>
    <mergeCell ref="M25:M28"/>
    <mergeCell ref="N25:N28"/>
    <mergeCell ref="AC10:AC15"/>
    <mergeCell ref="W10:W15"/>
    <mergeCell ref="X10:X15"/>
    <mergeCell ref="Y10:Y15"/>
    <mergeCell ref="Z10:Z15"/>
    <mergeCell ref="AA10:AA15"/>
    <mergeCell ref="AB10:AB15"/>
    <mergeCell ref="AC16:AC24"/>
    <mergeCell ref="X16:X24"/>
    <mergeCell ref="Y16:Y24"/>
    <mergeCell ref="Z16:Z24"/>
    <mergeCell ref="AA16:AA24"/>
    <mergeCell ref="AB16:AB24"/>
    <mergeCell ref="W16:W24"/>
    <mergeCell ref="Q57:Q59"/>
    <mergeCell ref="T57:T59"/>
    <mergeCell ref="U3:U9"/>
    <mergeCell ref="V3:V9"/>
    <mergeCell ref="Q10:Q15"/>
    <mergeCell ref="R10:R15"/>
    <mergeCell ref="S10:S15"/>
    <mergeCell ref="T10:T15"/>
    <mergeCell ref="U10:U15"/>
    <mergeCell ref="V10:V15"/>
    <mergeCell ref="U25:U28"/>
    <mergeCell ref="V25:V28"/>
    <mergeCell ref="Q3:Q9"/>
    <mergeCell ref="R3:R9"/>
    <mergeCell ref="S3:S9"/>
    <mergeCell ref="T3:T9"/>
    <mergeCell ref="U16:U24"/>
    <mergeCell ref="V16:V24"/>
    <mergeCell ref="S16:S24"/>
    <mergeCell ref="T16:T24"/>
    <mergeCell ref="Q40:Q46"/>
    <mergeCell ref="R40:R46"/>
    <mergeCell ref="S40:S46"/>
    <mergeCell ref="T40:T46"/>
    <mergeCell ref="I10:I15"/>
    <mergeCell ref="J10:J15"/>
    <mergeCell ref="M78:M80"/>
    <mergeCell ref="M75:M77"/>
    <mergeCell ref="N10:N14"/>
    <mergeCell ref="V40:V46"/>
    <mergeCell ref="W40:W46"/>
    <mergeCell ref="X40:X46"/>
    <mergeCell ref="M41:M43"/>
    <mergeCell ref="P36:P39"/>
    <mergeCell ref="P10:P15"/>
    <mergeCell ref="M12:M14"/>
    <mergeCell ref="O12:O14"/>
    <mergeCell ref="W25:W28"/>
    <mergeCell ref="X25:X28"/>
    <mergeCell ref="N29:N35"/>
    <mergeCell ref="O30:O33"/>
    <mergeCell ref="P29:P35"/>
    <mergeCell ref="O18:O22"/>
    <mergeCell ref="M29:M33"/>
    <mergeCell ref="Q29:Q35"/>
    <mergeCell ref="S70:S80"/>
    <mergeCell ref="T70:T80"/>
    <mergeCell ref="X47:X56"/>
    <mergeCell ref="AA1:AC1"/>
    <mergeCell ref="H3:H9"/>
    <mergeCell ref="AA3:AA9"/>
    <mergeCell ref="AB3:AB9"/>
    <mergeCell ref="AC3:AC9"/>
    <mergeCell ref="Y3:Y9"/>
    <mergeCell ref="Z3:Z9"/>
    <mergeCell ref="B10:B15"/>
    <mergeCell ref="C10:C15"/>
    <mergeCell ref="D10:D15"/>
    <mergeCell ref="E10:E15"/>
    <mergeCell ref="F10:F15"/>
    <mergeCell ref="W3:W9"/>
    <mergeCell ref="X3:X9"/>
    <mergeCell ref="N3:N9"/>
    <mergeCell ref="P3:P9"/>
    <mergeCell ref="B3:B9"/>
    <mergeCell ref="C3:C9"/>
    <mergeCell ref="D3:D9"/>
    <mergeCell ref="E3:E9"/>
    <mergeCell ref="F3:F9"/>
    <mergeCell ref="G3:G9"/>
    <mergeCell ref="I3:I9"/>
    <mergeCell ref="J3:J9"/>
    <mergeCell ref="J57:J59"/>
    <mergeCell ref="B81:B84"/>
    <mergeCell ref="C81:C84"/>
    <mergeCell ref="D81:D84"/>
    <mergeCell ref="E81:E84"/>
    <mergeCell ref="B118:B124"/>
    <mergeCell ref="N118:N124"/>
    <mergeCell ref="P118:P124"/>
    <mergeCell ref="Q118:Q124"/>
    <mergeCell ref="B116:B117"/>
    <mergeCell ref="Q116:Q117"/>
    <mergeCell ref="N116:N117"/>
    <mergeCell ref="P116:P117"/>
    <mergeCell ref="B113:B115"/>
    <mergeCell ref="J113:J115"/>
    <mergeCell ref="F113:F115"/>
    <mergeCell ref="E113:E115"/>
    <mergeCell ref="E70:E80"/>
    <mergeCell ref="B63:B69"/>
    <mergeCell ref="C63:C69"/>
    <mergeCell ref="D63:D69"/>
    <mergeCell ref="E63:E69"/>
    <mergeCell ref="F63:F69"/>
    <mergeCell ref="G63:G69"/>
    <mergeCell ref="I57:I59"/>
    <mergeCell ref="H60:H62"/>
    <mergeCell ref="I60:I62"/>
    <mergeCell ref="B70:B80"/>
    <mergeCell ref="C70:C80"/>
    <mergeCell ref="D70:D80"/>
    <mergeCell ref="H70:H80"/>
    <mergeCell ref="I70:I80"/>
    <mergeCell ref="F85:F86"/>
    <mergeCell ref="B60:B62"/>
    <mergeCell ref="C60:C62"/>
    <mergeCell ref="D60:D62"/>
    <mergeCell ref="E60:E62"/>
    <mergeCell ref="F60:F62"/>
    <mergeCell ref="G60:G62"/>
    <mergeCell ref="H63:H69"/>
    <mergeCell ref="F70:F80"/>
    <mergeCell ref="G70:G80"/>
    <mergeCell ref="F81:F84"/>
    <mergeCell ref="G81:G84"/>
    <mergeCell ref="H81:H84"/>
    <mergeCell ref="B85:B86"/>
    <mergeCell ref="C85:C86"/>
    <mergeCell ref="D85:D86"/>
    <mergeCell ref="B40:B46"/>
    <mergeCell ref="G40:G46"/>
    <mergeCell ref="B57:B59"/>
    <mergeCell ref="C57:C59"/>
    <mergeCell ref="D57:D59"/>
    <mergeCell ref="E57:E59"/>
    <mergeCell ref="F57:F59"/>
    <mergeCell ref="G57:G59"/>
    <mergeCell ref="H57:H59"/>
    <mergeCell ref="D40:D46"/>
    <mergeCell ref="E40:E46"/>
    <mergeCell ref="F40:F46"/>
    <mergeCell ref="G47:G56"/>
    <mergeCell ref="H47:H56"/>
    <mergeCell ref="W113:W115"/>
    <mergeCell ref="G116:G117"/>
    <mergeCell ref="I116:I117"/>
    <mergeCell ref="J116:J117"/>
    <mergeCell ref="S116:S117"/>
    <mergeCell ref="Q113:Q115"/>
    <mergeCell ref="B111:B112"/>
    <mergeCell ref="F111:F112"/>
    <mergeCell ref="M111:M112"/>
    <mergeCell ref="N111:N112"/>
    <mergeCell ref="D113:D115"/>
    <mergeCell ref="C113:C115"/>
    <mergeCell ref="R116:R117"/>
    <mergeCell ref="R113:R115"/>
    <mergeCell ref="S113:S115"/>
    <mergeCell ref="I113:I115"/>
    <mergeCell ref="G113:G115"/>
    <mergeCell ref="Y113:Y115"/>
    <mergeCell ref="Z113:Z115"/>
    <mergeCell ref="AA113:AA115"/>
    <mergeCell ref="AB113:AB115"/>
    <mergeCell ref="J118:J124"/>
    <mergeCell ref="I118:I124"/>
    <mergeCell ref="G118:G124"/>
    <mergeCell ref="S118:S124"/>
    <mergeCell ref="T118:T124"/>
    <mergeCell ref="U118:U124"/>
    <mergeCell ref="V118:V124"/>
    <mergeCell ref="W118:W124"/>
    <mergeCell ref="X118:X124"/>
    <mergeCell ref="Y118:Y124"/>
    <mergeCell ref="Z118:Z124"/>
    <mergeCell ref="AA118:AA124"/>
    <mergeCell ref="AB118:AB124"/>
    <mergeCell ref="N113:N115"/>
    <mergeCell ref="P113:P115"/>
    <mergeCell ref="R118:R124"/>
    <mergeCell ref="X113:X115"/>
    <mergeCell ref="U113:U115"/>
    <mergeCell ref="V113:V115"/>
    <mergeCell ref="T113:T115"/>
    <mergeCell ref="B29:B35"/>
    <mergeCell ref="B16:B24"/>
    <mergeCell ref="C16:C24"/>
    <mergeCell ref="D16:D24"/>
    <mergeCell ref="E16:E24"/>
    <mergeCell ref="F16:F24"/>
    <mergeCell ref="G16:G24"/>
    <mergeCell ref="B25:B28"/>
    <mergeCell ref="C25:C28"/>
    <mergeCell ref="D25:D28"/>
    <mergeCell ref="E25:E28"/>
    <mergeCell ref="F25:F28"/>
    <mergeCell ref="G25:G28"/>
    <mergeCell ref="C29:C35"/>
    <mergeCell ref="D29:D35"/>
    <mergeCell ref="E29:E35"/>
    <mergeCell ref="F29:F35"/>
    <mergeCell ref="G29:G35"/>
    <mergeCell ref="G10:G15"/>
    <mergeCell ref="H10:H15"/>
    <mergeCell ref="AC116:AC117"/>
    <mergeCell ref="C116:C117"/>
    <mergeCell ref="D116:D117"/>
    <mergeCell ref="E116:E117"/>
    <mergeCell ref="F116:F117"/>
    <mergeCell ref="M118:M124"/>
    <mergeCell ref="M113:M115"/>
    <mergeCell ref="T116:T117"/>
    <mergeCell ref="U116:U117"/>
    <mergeCell ref="V116:V117"/>
    <mergeCell ref="W116:W117"/>
    <mergeCell ref="X116:X117"/>
    <mergeCell ref="Y116:Y117"/>
    <mergeCell ref="Z116:Z117"/>
    <mergeCell ref="AA116:AA117"/>
    <mergeCell ref="AB116:AB117"/>
    <mergeCell ref="F118:F124"/>
    <mergeCell ref="E118:E124"/>
    <mergeCell ref="D118:D124"/>
    <mergeCell ref="C118:C124"/>
    <mergeCell ref="AC113:AC115"/>
    <mergeCell ref="AC118:AC124"/>
  </mergeCells>
  <conditionalFormatting sqref="C3:E124">
    <cfRule type="notContainsBlanks" dxfId="23" priority="20">
      <formula>LEN(TRIM(C3))&gt;0</formula>
    </cfRule>
  </conditionalFormatting>
  <conditionalFormatting sqref="E10">
    <cfRule type="notContainsBlanks" dxfId="22" priority="11">
      <formula>LEN(TRIM(E10))&gt;0</formula>
    </cfRule>
  </conditionalFormatting>
  <conditionalFormatting sqref="Q3:V3 Q16:V16 Q25:V25 Q29:V29 Q36:V37 Q40:V40 T47:V47 Q57:V57 Q60:V60 Q63:V63 Q70:V79 Q81:V81 Q85:V85 Q87:V87 Q100:V100 Q109:V109 Q116:V116 Q118:V118">
    <cfRule type="cellIs" dxfId="21" priority="16" operator="equal">
      <formula>"x"</formula>
    </cfRule>
  </conditionalFormatting>
  <conditionalFormatting sqref="Q111:V113">
    <cfRule type="cellIs" dxfId="20" priority="1" operator="equal">
      <formula>"x"</formula>
    </cfRule>
  </conditionalFormatting>
  <conditionalFormatting sqref="R10:V10">
    <cfRule type="cellIs" dxfId="19" priority="12" operator="equal">
      <formula>"x"</formula>
    </cfRule>
  </conditionalFormatting>
  <conditionalFormatting sqref="W3 W10 W16 W25 W29 W36:W37 W40 W47 W57 W60 W63 W70:W79 W81 W85 W87 W100 W109 W116 W118">
    <cfRule type="cellIs" dxfId="18" priority="17" operator="equal">
      <formula>3</formula>
    </cfRule>
    <cfRule type="cellIs" dxfId="17" priority="18" operator="equal">
      <formula>2</formula>
    </cfRule>
    <cfRule type="cellIs" dxfId="16" priority="19" operator="equal">
      <formula>1</formula>
    </cfRule>
  </conditionalFormatting>
  <conditionalFormatting sqref="W111:W113">
    <cfRule type="cellIs" dxfId="15" priority="8" operator="equal">
      <formula>3</formula>
    </cfRule>
    <cfRule type="cellIs" dxfId="14" priority="9" operator="equal">
      <formula>2</formula>
    </cfRule>
    <cfRule type="cellIs" dxfId="13" priority="10" operator="equal">
      <formula>1</formula>
    </cfRule>
  </conditionalFormatting>
  <conditionalFormatting sqref="Z3:Z10 Z16 Z25 Z29 Z36:Z37 Z40 Z47 Z57 Z60 Z63 Z70:Z79 Z81 Z85 Z87 Z100">
    <cfRule type="cellIs" dxfId="12" priority="13" operator="equal">
      <formula>"Green (Alert)"</formula>
    </cfRule>
    <cfRule type="cellIs" dxfId="11" priority="14" operator="equal">
      <formula>"Red"</formula>
    </cfRule>
    <cfRule type="cellIs" dxfId="10" priority="15" operator="equal">
      <formula>"Yellow (Heighten)"</formula>
    </cfRule>
  </conditionalFormatting>
  <hyperlinks>
    <hyperlink ref="M29" r:id="rId1" xr:uid="{6FB664A8-8E6C-4011-87A8-CA99F2085B11}"/>
    <hyperlink ref="M34" r:id="rId2" xr:uid="{4AA58FA0-AEE7-4D78-9A9D-8D91175B715E}"/>
  </hyperlinks>
  <pageMargins left="0.25" right="0.25"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CF94A-AE82-4509-A8FB-745B21CF014C}">
  <dimension ref="A1:O14"/>
  <sheetViews>
    <sheetView workbookViewId="0"/>
  </sheetViews>
  <sheetFormatPr baseColWidth="10" defaultColWidth="8.7109375" defaultRowHeight="16"/>
  <cols>
    <col min="2" max="4" width="6.140625" customWidth="1"/>
    <col min="5" max="5" width="19.28515625" bestFit="1" customWidth="1"/>
    <col min="6" max="6" width="10.42578125" bestFit="1" customWidth="1"/>
    <col min="7" max="7" width="11.28515625" customWidth="1"/>
    <col min="8" max="8" width="9.28515625" style="6" customWidth="1"/>
    <col min="9" max="9" width="23.28515625" bestFit="1" customWidth="1"/>
    <col min="10" max="15" width="14.85546875" style="6" customWidth="1"/>
  </cols>
  <sheetData>
    <row r="1" spans="1:15">
      <c r="B1" s="151"/>
      <c r="C1" s="151"/>
      <c r="D1" s="151"/>
      <c r="E1" s="151"/>
      <c r="F1" s="151"/>
      <c r="G1" s="151"/>
      <c r="H1" s="152"/>
      <c r="I1" s="151"/>
      <c r="J1" s="361" t="s">
        <v>201</v>
      </c>
      <c r="K1" s="361"/>
      <c r="L1" s="361"/>
      <c r="M1" s="361"/>
      <c r="N1" s="361"/>
      <c r="O1" s="361"/>
    </row>
    <row r="2" spans="1:15" ht="51">
      <c r="B2" s="18" t="s">
        <v>515</v>
      </c>
      <c r="C2" s="18" t="s">
        <v>516</v>
      </c>
      <c r="D2" s="18" t="s">
        <v>515</v>
      </c>
      <c r="E2" s="13" t="s">
        <v>202</v>
      </c>
      <c r="F2" s="13" t="s">
        <v>203</v>
      </c>
      <c r="G2" s="18" t="s">
        <v>204</v>
      </c>
      <c r="H2" s="18" t="s">
        <v>205</v>
      </c>
      <c r="I2" s="13" t="s">
        <v>206</v>
      </c>
      <c r="J2" s="18" t="s">
        <v>207</v>
      </c>
      <c r="K2" s="18" t="s">
        <v>208</v>
      </c>
      <c r="L2" s="18" t="s">
        <v>209</v>
      </c>
      <c r="M2" s="18" t="s">
        <v>210</v>
      </c>
      <c r="N2" s="18" t="s">
        <v>211</v>
      </c>
      <c r="O2" s="18" t="s">
        <v>212</v>
      </c>
    </row>
    <row r="3" spans="1:15" ht="15" customHeight="1">
      <c r="B3" s="20" t="s">
        <v>28</v>
      </c>
      <c r="C3" s="20"/>
      <c r="D3" s="20"/>
      <c r="E3" s="20" t="s">
        <v>2</v>
      </c>
      <c r="F3" s="12">
        <v>1</v>
      </c>
      <c r="G3" s="20" t="s">
        <v>214</v>
      </c>
      <c r="H3" s="14">
        <v>2</v>
      </c>
      <c r="I3" s="20" t="s">
        <v>518</v>
      </c>
      <c r="J3" s="7" t="s">
        <v>28</v>
      </c>
      <c r="K3" s="7"/>
      <c r="L3" s="7" t="s">
        <v>28</v>
      </c>
      <c r="M3" s="7" t="s">
        <v>28</v>
      </c>
      <c r="N3" s="7" t="s">
        <v>28</v>
      </c>
      <c r="O3" s="7"/>
    </row>
    <row r="4" spans="1:15" ht="15" customHeight="1">
      <c r="B4" s="20"/>
      <c r="C4" s="20" t="s">
        <v>28</v>
      </c>
      <c r="D4" s="20"/>
      <c r="E4" s="20" t="s">
        <v>2</v>
      </c>
      <c r="F4" s="12">
        <v>2</v>
      </c>
      <c r="G4" s="20" t="s">
        <v>216</v>
      </c>
      <c r="H4" s="14">
        <v>2</v>
      </c>
      <c r="I4" s="20" t="s">
        <v>520</v>
      </c>
      <c r="J4" s="7"/>
      <c r="K4" s="7" t="s">
        <v>28</v>
      </c>
      <c r="L4" s="7"/>
      <c r="M4" s="7"/>
      <c r="N4" s="7"/>
      <c r="O4" s="7"/>
    </row>
    <row r="5" spans="1:15" ht="15" customHeight="1">
      <c r="B5" s="20"/>
      <c r="C5" s="20"/>
      <c r="D5" s="20" t="s">
        <v>28</v>
      </c>
      <c r="E5" s="20" t="s">
        <v>2</v>
      </c>
      <c r="F5" s="95">
        <v>3</v>
      </c>
      <c r="G5" s="20" t="s">
        <v>198</v>
      </c>
      <c r="H5" s="14">
        <v>2</v>
      </c>
      <c r="I5" s="20" t="s">
        <v>519</v>
      </c>
      <c r="J5" s="7" t="s">
        <v>28</v>
      </c>
      <c r="K5" s="7"/>
      <c r="L5" s="7"/>
      <c r="M5" s="7"/>
      <c r="N5" s="7" t="s">
        <v>28</v>
      </c>
      <c r="O5" s="7" t="s">
        <v>28</v>
      </c>
    </row>
    <row r="6" spans="1:15" ht="15" customHeight="1">
      <c r="B6" s="20" t="s">
        <v>28</v>
      </c>
      <c r="C6" s="20"/>
      <c r="D6" s="20"/>
      <c r="E6" s="20" t="s">
        <v>3</v>
      </c>
      <c r="F6" s="150">
        <v>4</v>
      </c>
      <c r="G6" s="20" t="s">
        <v>214</v>
      </c>
      <c r="H6" s="14">
        <v>2</v>
      </c>
      <c r="I6" s="20" t="s">
        <v>518</v>
      </c>
      <c r="J6" s="7" t="s">
        <v>28</v>
      </c>
      <c r="K6" s="7"/>
      <c r="L6" s="7" t="s">
        <v>28</v>
      </c>
      <c r="M6" s="7" t="s">
        <v>28</v>
      </c>
      <c r="N6" s="7"/>
      <c r="O6" s="7"/>
    </row>
    <row r="7" spans="1:15" ht="15" customHeight="1">
      <c r="B7" s="20"/>
      <c r="C7" s="20" t="s">
        <v>28</v>
      </c>
      <c r="D7" s="20"/>
      <c r="E7" s="20" t="s">
        <v>3</v>
      </c>
      <c r="F7" s="150">
        <v>5</v>
      </c>
      <c r="G7" s="20" t="s">
        <v>216</v>
      </c>
      <c r="H7" s="14">
        <v>2</v>
      </c>
      <c r="I7" s="20" t="s">
        <v>520</v>
      </c>
      <c r="J7" s="7"/>
      <c r="K7" s="7" t="s">
        <v>28</v>
      </c>
      <c r="L7" s="7"/>
      <c r="M7" s="7"/>
      <c r="N7" s="7"/>
      <c r="O7" s="7"/>
    </row>
    <row r="8" spans="1:15" ht="15" customHeight="1">
      <c r="B8" s="20"/>
      <c r="C8" s="20"/>
      <c r="D8" s="20" t="s">
        <v>28</v>
      </c>
      <c r="E8" s="20" t="s">
        <v>3</v>
      </c>
      <c r="F8" s="95">
        <v>6</v>
      </c>
      <c r="G8" s="20" t="s">
        <v>198</v>
      </c>
      <c r="H8" s="14">
        <v>2</v>
      </c>
      <c r="I8" s="20" t="s">
        <v>519</v>
      </c>
      <c r="J8" s="7" t="s">
        <v>28</v>
      </c>
      <c r="K8" s="7"/>
      <c r="L8" s="7"/>
      <c r="M8" s="7" t="s">
        <v>28</v>
      </c>
      <c r="N8" s="7" t="s">
        <v>28</v>
      </c>
      <c r="O8" s="7" t="s">
        <v>28</v>
      </c>
    </row>
    <row r="9" spans="1:15" ht="15" customHeight="1">
      <c r="B9" s="20" t="s">
        <v>28</v>
      </c>
      <c r="C9" s="20" t="s">
        <v>28</v>
      </c>
      <c r="D9" s="20"/>
      <c r="E9" s="20" t="s">
        <v>4</v>
      </c>
      <c r="F9" s="150">
        <v>7</v>
      </c>
      <c r="G9" s="20" t="s">
        <v>517</v>
      </c>
      <c r="H9" s="14">
        <v>2</v>
      </c>
      <c r="I9" s="20" t="s">
        <v>518</v>
      </c>
      <c r="J9" s="7" t="s">
        <v>28</v>
      </c>
      <c r="K9" s="7" t="s">
        <v>28</v>
      </c>
      <c r="L9" s="7" t="s">
        <v>28</v>
      </c>
      <c r="M9" s="7" t="s">
        <v>28</v>
      </c>
      <c r="N9" s="7"/>
      <c r="O9" s="7"/>
    </row>
    <row r="10" spans="1:15" ht="15" customHeight="1">
      <c r="B10" s="20"/>
      <c r="C10" s="20"/>
      <c r="D10" s="20" t="s">
        <v>28</v>
      </c>
      <c r="E10" s="20" t="s">
        <v>4</v>
      </c>
      <c r="F10" s="95">
        <v>8</v>
      </c>
      <c r="G10" s="20" t="s">
        <v>198</v>
      </c>
      <c r="H10" s="14">
        <v>2</v>
      </c>
      <c r="I10" s="20" t="s">
        <v>519</v>
      </c>
      <c r="J10" s="7" t="s">
        <v>28</v>
      </c>
      <c r="K10" s="7"/>
      <c r="L10" s="7"/>
      <c r="M10" s="7" t="s">
        <v>28</v>
      </c>
      <c r="N10" s="7"/>
      <c r="O10" s="7" t="s">
        <v>28</v>
      </c>
    </row>
    <row r="11" spans="1:15">
      <c r="A11" s="1"/>
      <c r="B11" s="1"/>
      <c r="C11" s="1"/>
      <c r="D11" s="1"/>
      <c r="E11" s="1"/>
      <c r="F11" s="1"/>
      <c r="G11" s="1"/>
      <c r="H11" s="4"/>
      <c r="I11" s="1"/>
      <c r="J11" s="4"/>
      <c r="K11" s="4"/>
      <c r="L11" s="4"/>
      <c r="M11" s="4"/>
      <c r="N11" s="4"/>
      <c r="O11" s="4"/>
    </row>
    <row r="13" spans="1:15">
      <c r="C13" s="12"/>
      <c r="D13" s="12"/>
      <c r="E13" s="96" t="s">
        <v>222</v>
      </c>
    </row>
    <row r="14" spans="1:15">
      <c r="C14" s="79"/>
      <c r="D14" s="79"/>
      <c r="E14" s="96" t="s">
        <v>427</v>
      </c>
    </row>
  </sheetData>
  <mergeCells count="1">
    <mergeCell ref="J1:O1"/>
  </mergeCells>
  <conditionalFormatting sqref="J3:O10">
    <cfRule type="cellIs" dxfId="9" priority="1" operator="equal">
      <formula>"X"</formula>
    </cfRule>
  </conditionalFormatting>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79EDE-B10F-42D0-B507-6B3CDB8ED069}">
  <dimension ref="B1:N10"/>
  <sheetViews>
    <sheetView workbookViewId="0"/>
  </sheetViews>
  <sheetFormatPr baseColWidth="10" defaultColWidth="8.5703125" defaultRowHeight="16"/>
  <cols>
    <col min="1" max="2" width="8.5703125" style="2"/>
    <col min="3" max="3" width="4.140625" style="2" hidden="1" customWidth="1"/>
    <col min="4" max="4" width="9" style="2" bestFit="1" customWidth="1"/>
    <col min="5" max="5" width="6.7109375" style="1" bestFit="1" customWidth="1"/>
    <col min="6" max="7" width="4.7109375" style="1" bestFit="1" customWidth="1"/>
    <col min="8" max="8" width="4.42578125" style="1" customWidth="1"/>
    <col min="9" max="10" width="4.28515625" style="1" customWidth="1"/>
    <col min="11" max="11" width="13" style="1" customWidth="1"/>
    <col min="12" max="12" width="12.28515625" style="2" customWidth="1"/>
    <col min="13" max="13" width="48.7109375" style="2" customWidth="1"/>
    <col min="14" max="14" width="52" style="3" bestFit="1" customWidth="1"/>
    <col min="15" max="16384" width="8.5703125" style="2"/>
  </cols>
  <sheetData>
    <row r="1" spans="2:14">
      <c r="C1" s="15"/>
      <c r="D1" s="15"/>
      <c r="E1" s="362" t="s">
        <v>223</v>
      </c>
      <c r="F1" s="362"/>
      <c r="G1" s="362"/>
      <c r="H1" s="363" t="s">
        <v>197</v>
      </c>
      <c r="I1" s="363"/>
      <c r="J1" s="363"/>
      <c r="K1" s="363"/>
      <c r="L1" s="15"/>
      <c r="M1" s="15"/>
      <c r="N1" s="16"/>
    </row>
    <row r="2" spans="2:14" ht="17">
      <c r="C2" s="17" t="s">
        <v>224</v>
      </c>
      <c r="D2" s="158" t="s">
        <v>1</v>
      </c>
      <c r="E2" s="159" t="s">
        <v>214</v>
      </c>
      <c r="F2" s="159" t="s">
        <v>216</v>
      </c>
      <c r="G2" s="159" t="s">
        <v>198</v>
      </c>
      <c r="H2" s="160" t="s">
        <v>2</v>
      </c>
      <c r="I2" s="160" t="s">
        <v>3</v>
      </c>
      <c r="J2" s="160" t="s">
        <v>4</v>
      </c>
      <c r="K2" s="160" t="s">
        <v>225</v>
      </c>
      <c r="L2" s="158" t="s">
        <v>226</v>
      </c>
      <c r="M2" s="161" t="s">
        <v>227</v>
      </c>
      <c r="N2" s="161" t="s">
        <v>228</v>
      </c>
    </row>
    <row r="3" spans="2:14" ht="34">
      <c r="B3" s="2" t="s">
        <v>376</v>
      </c>
      <c r="C3" s="156"/>
      <c r="D3" s="162">
        <v>1</v>
      </c>
      <c r="E3" s="153" t="s">
        <v>28</v>
      </c>
      <c r="F3" s="153"/>
      <c r="G3" s="153"/>
      <c r="H3" s="153" t="s">
        <v>28</v>
      </c>
      <c r="I3" s="153"/>
      <c r="J3" s="153"/>
      <c r="K3" s="154" t="s">
        <v>2</v>
      </c>
      <c r="L3" s="155">
        <v>2</v>
      </c>
      <c r="M3" s="99" t="s">
        <v>529</v>
      </c>
      <c r="N3" s="99" t="s">
        <v>525</v>
      </c>
    </row>
    <row r="4" spans="2:14" ht="34">
      <c r="B4" s="2" t="s">
        <v>376</v>
      </c>
      <c r="C4" s="157">
        <v>1</v>
      </c>
      <c r="D4" s="163">
        <v>4</v>
      </c>
      <c r="E4" s="153" t="s">
        <v>28</v>
      </c>
      <c r="F4" s="153"/>
      <c r="G4" s="153"/>
      <c r="H4" s="153"/>
      <c r="I4" s="153" t="s">
        <v>28</v>
      </c>
      <c r="J4" s="153"/>
      <c r="K4" s="154" t="s">
        <v>3</v>
      </c>
      <c r="L4" s="155">
        <v>2</v>
      </c>
      <c r="M4" s="164" t="s">
        <v>527</v>
      </c>
      <c r="N4" s="99" t="s">
        <v>524</v>
      </c>
    </row>
    <row r="5" spans="2:14" ht="85">
      <c r="B5" s="2" t="s">
        <v>376</v>
      </c>
      <c r="C5" s="157">
        <v>1</v>
      </c>
      <c r="D5" s="163">
        <v>2</v>
      </c>
      <c r="E5" s="153"/>
      <c r="F5" s="153" t="s">
        <v>28</v>
      </c>
      <c r="G5" s="153"/>
      <c r="H5" s="153" t="s">
        <v>28</v>
      </c>
      <c r="I5" s="153"/>
      <c r="J5" s="153"/>
      <c r="K5" s="154" t="s">
        <v>2</v>
      </c>
      <c r="L5" s="155">
        <v>2</v>
      </c>
      <c r="M5" s="164" t="s">
        <v>522</v>
      </c>
      <c r="N5" s="164" t="s">
        <v>422</v>
      </c>
    </row>
    <row r="6" spans="2:14" ht="68">
      <c r="B6" s="2" t="s">
        <v>376</v>
      </c>
      <c r="C6" s="156"/>
      <c r="D6" s="163">
        <v>5</v>
      </c>
      <c r="E6" s="153"/>
      <c r="F6" s="153" t="s">
        <v>28</v>
      </c>
      <c r="G6" s="153"/>
      <c r="H6" s="153"/>
      <c r="I6" s="153" t="s">
        <v>28</v>
      </c>
      <c r="J6" s="153"/>
      <c r="K6" s="154" t="s">
        <v>3</v>
      </c>
      <c r="L6" s="155">
        <v>2</v>
      </c>
      <c r="M6" s="164" t="s">
        <v>535</v>
      </c>
      <c r="N6" s="164" t="s">
        <v>523</v>
      </c>
    </row>
    <row r="7" spans="2:14" ht="85">
      <c r="B7" s="2" t="s">
        <v>376</v>
      </c>
      <c r="C7" s="156"/>
      <c r="D7" s="163">
        <v>7</v>
      </c>
      <c r="E7" s="153" t="s">
        <v>28</v>
      </c>
      <c r="F7" s="153" t="s">
        <v>28</v>
      </c>
      <c r="G7" s="153"/>
      <c r="H7" s="153"/>
      <c r="I7" s="153"/>
      <c r="J7" s="153" t="s">
        <v>28</v>
      </c>
      <c r="K7" s="154" t="s">
        <v>4</v>
      </c>
      <c r="L7" s="155">
        <v>2</v>
      </c>
      <c r="M7" s="165" t="s">
        <v>526</v>
      </c>
      <c r="N7" s="99" t="s">
        <v>530</v>
      </c>
    </row>
    <row r="8" spans="2:14" ht="34">
      <c r="B8" s="2" t="s">
        <v>521</v>
      </c>
      <c r="C8" s="1"/>
      <c r="D8" s="20">
        <v>3</v>
      </c>
      <c r="E8" s="153"/>
      <c r="F8" s="153"/>
      <c r="G8" s="153" t="s">
        <v>28</v>
      </c>
      <c r="H8" s="153" t="s">
        <v>28</v>
      </c>
      <c r="I8" s="153"/>
      <c r="J8" s="153"/>
      <c r="K8" s="154" t="s">
        <v>2</v>
      </c>
      <c r="L8" s="155">
        <v>2</v>
      </c>
      <c r="M8" s="164" t="s">
        <v>528</v>
      </c>
      <c r="N8" s="165" t="s">
        <v>421</v>
      </c>
    </row>
    <row r="9" spans="2:14" ht="34">
      <c r="B9" s="2" t="s">
        <v>521</v>
      </c>
      <c r="C9" s="1"/>
      <c r="D9" s="20">
        <v>6</v>
      </c>
      <c r="E9" s="153"/>
      <c r="F9" s="153"/>
      <c r="G9" s="153" t="s">
        <v>28</v>
      </c>
      <c r="H9" s="153"/>
      <c r="I9" s="153" t="s">
        <v>28</v>
      </c>
      <c r="J9" s="153"/>
      <c r="K9" s="154" t="s">
        <v>3</v>
      </c>
      <c r="L9" s="155">
        <v>2</v>
      </c>
      <c r="M9" s="99" t="s">
        <v>534</v>
      </c>
      <c r="N9" s="99" t="s">
        <v>531</v>
      </c>
    </row>
    <row r="10" spans="2:14" ht="51">
      <c r="B10" s="2" t="s">
        <v>521</v>
      </c>
      <c r="D10" s="20">
        <v>8</v>
      </c>
      <c r="E10" s="153"/>
      <c r="F10" s="153"/>
      <c r="G10" s="153" t="s">
        <v>28</v>
      </c>
      <c r="H10" s="153"/>
      <c r="I10" s="153"/>
      <c r="J10" s="153" t="s">
        <v>28</v>
      </c>
      <c r="K10" s="154" t="s">
        <v>4</v>
      </c>
      <c r="L10" s="155">
        <v>2</v>
      </c>
      <c r="M10" s="99" t="s">
        <v>533</v>
      </c>
      <c r="N10" s="99" t="s">
        <v>532</v>
      </c>
    </row>
  </sheetData>
  <mergeCells count="2">
    <mergeCell ref="E1:G1"/>
    <mergeCell ref="H1:K1"/>
  </mergeCells>
  <phoneticPr fontId="8" type="noConversion"/>
  <conditionalFormatting sqref="E3:G10">
    <cfRule type="notContainsBlanks" dxfId="8" priority="8">
      <formula>LEN(TRIM(E3))&gt;0</formula>
    </cfRule>
  </conditionalFormatting>
  <conditionalFormatting sqref="H3:J4 H5:H10 H6:J7">
    <cfRule type="notContainsBlanks" dxfId="7" priority="17">
      <formula>LEN(TRIM(H3))&gt;0</formula>
    </cfRule>
  </conditionalFormatting>
  <conditionalFormatting sqref="I5">
    <cfRule type="notContainsBlanks" dxfId="6" priority="11">
      <formula>LEN(TRIM(I5))&gt;0</formula>
    </cfRule>
  </conditionalFormatting>
  <conditionalFormatting sqref="I6:J7 J5">
    <cfRule type="notContainsBlanks" dxfId="5" priority="20">
      <formula>LEN(TRIM(I5))&gt;0</formula>
    </cfRule>
  </conditionalFormatting>
  <conditionalFormatting sqref="I8:J10">
    <cfRule type="notContainsBlanks" dxfId="4" priority="1">
      <formula>LEN(TRIM(I8))&gt;0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5C261-C509-420F-8222-9A27926484F5}">
  <dimension ref="A1:W60"/>
  <sheetViews>
    <sheetView tabSelected="1" zoomScale="75" zoomScaleNormal="115" workbookViewId="0">
      <selection activeCell="S1" sqref="S1"/>
    </sheetView>
  </sheetViews>
  <sheetFormatPr baseColWidth="10" defaultColWidth="8.5703125" defaultRowHeight="16"/>
  <cols>
    <col min="1" max="1" width="8.5703125" style="123" customWidth="1"/>
    <col min="2" max="2" width="12.42578125" style="4" customWidth="1"/>
    <col min="3" max="3" width="10" style="123" customWidth="1"/>
    <col min="4" max="4" width="13.85546875" style="124" customWidth="1"/>
    <col min="5" max="5" width="12" style="4" customWidth="1"/>
    <col min="6" max="6" width="50.28515625" style="6" customWidth="1"/>
    <col min="7" max="7" width="48.7109375" style="6" customWidth="1"/>
    <col min="8" max="8" width="79" style="6" customWidth="1"/>
    <col min="9" max="9" width="31.140625" style="6" hidden="1" customWidth="1"/>
    <col min="10" max="14" width="13.42578125" style="124" hidden="1" customWidth="1"/>
    <col min="15" max="15" width="12.7109375" style="124" hidden="1" customWidth="1"/>
    <col min="16" max="16" width="11" style="124" hidden="1" customWidth="1"/>
    <col min="17" max="17" width="14.7109375" style="123" hidden="1" customWidth="1"/>
    <col min="18" max="18" width="16.7109375" style="4" customWidth="1"/>
    <col min="19" max="19" width="30.7109375" style="4" customWidth="1"/>
    <col min="20" max="20" width="100" style="6" customWidth="1"/>
    <col min="21" max="16384" width="8.5703125" style="6"/>
  </cols>
  <sheetData>
    <row r="1" spans="1:20">
      <c r="J1" s="364" t="s">
        <v>1153</v>
      </c>
      <c r="K1" s="364"/>
      <c r="L1" s="364"/>
      <c r="M1" s="364"/>
      <c r="N1" s="364"/>
      <c r="O1" s="364"/>
      <c r="P1" s="364"/>
    </row>
    <row r="2" spans="1:20" s="123" customFormat="1" ht="34">
      <c r="A2" s="109" t="s">
        <v>230</v>
      </c>
      <c r="B2" s="110" t="s">
        <v>231</v>
      </c>
      <c r="C2" s="110" t="s">
        <v>232</v>
      </c>
      <c r="D2" s="111" t="s">
        <v>233</v>
      </c>
      <c r="E2" s="110" t="s">
        <v>234</v>
      </c>
      <c r="F2" s="110" t="s">
        <v>235</v>
      </c>
      <c r="G2" s="110" t="s">
        <v>1152</v>
      </c>
      <c r="H2" s="110" t="s">
        <v>1260</v>
      </c>
      <c r="I2" s="110" t="s">
        <v>243</v>
      </c>
      <c r="J2" s="183" t="s">
        <v>1345</v>
      </c>
      <c r="K2" s="183" t="s">
        <v>1346</v>
      </c>
      <c r="L2" s="183" t="s">
        <v>1347</v>
      </c>
      <c r="M2" s="183" t="s">
        <v>1348</v>
      </c>
      <c r="N2" s="183" t="s">
        <v>1349</v>
      </c>
      <c r="O2" s="183" t="s">
        <v>1350</v>
      </c>
      <c r="P2" s="183" t="s">
        <v>1351</v>
      </c>
      <c r="Q2" s="110" t="s">
        <v>236</v>
      </c>
      <c r="R2" s="110" t="s">
        <v>237</v>
      </c>
      <c r="S2" s="110" t="s">
        <v>238</v>
      </c>
      <c r="T2" s="110" t="s">
        <v>1194</v>
      </c>
    </row>
    <row r="3" spans="1:20" s="123" customFormat="1" ht="409.6">
      <c r="A3" s="125">
        <v>7</v>
      </c>
      <c r="B3" s="201"/>
      <c r="C3" s="7" t="s">
        <v>246</v>
      </c>
      <c r="D3" s="167">
        <v>45532</v>
      </c>
      <c r="E3" s="166" t="s">
        <v>246</v>
      </c>
      <c r="F3" s="196" t="s">
        <v>1386</v>
      </c>
      <c r="G3" s="186"/>
      <c r="H3" s="194" t="s">
        <v>1352</v>
      </c>
      <c r="I3" s="191"/>
      <c r="J3" s="129" t="s">
        <v>28</v>
      </c>
      <c r="K3" s="129" t="s">
        <v>28</v>
      </c>
      <c r="L3" s="129" t="s">
        <v>28</v>
      </c>
      <c r="M3" s="129" t="s">
        <v>28</v>
      </c>
      <c r="N3" s="129" t="s">
        <v>28</v>
      </c>
      <c r="O3" s="129"/>
      <c r="P3" s="220"/>
      <c r="Q3" s="11">
        <v>1</v>
      </c>
      <c r="R3" s="7" t="s">
        <v>246</v>
      </c>
      <c r="S3" s="7" t="s">
        <v>246</v>
      </c>
      <c r="T3" s="99"/>
    </row>
    <row r="4" spans="1:20" s="123" customFormat="1" ht="68">
      <c r="A4" s="125">
        <v>8</v>
      </c>
      <c r="B4" s="201"/>
      <c r="C4" s="7" t="s">
        <v>246</v>
      </c>
      <c r="D4" s="167">
        <v>45532</v>
      </c>
      <c r="E4" s="166" t="s">
        <v>246</v>
      </c>
      <c r="F4" s="196" t="s">
        <v>1156</v>
      </c>
      <c r="G4" s="186"/>
      <c r="H4" s="194" t="s">
        <v>1173</v>
      </c>
      <c r="I4" s="191"/>
      <c r="J4" s="129" t="s">
        <v>28</v>
      </c>
      <c r="K4" s="188" t="s">
        <v>28</v>
      </c>
      <c r="L4" s="193" t="s">
        <v>28</v>
      </c>
      <c r="M4" s="188" t="s">
        <v>28</v>
      </c>
      <c r="N4" s="188" t="s">
        <v>28</v>
      </c>
      <c r="O4" s="129"/>
      <c r="P4" s="127"/>
      <c r="Q4" s="11">
        <v>1</v>
      </c>
      <c r="R4" s="7" t="s">
        <v>246</v>
      </c>
      <c r="S4" s="7" t="s">
        <v>246</v>
      </c>
      <c r="T4" s="99"/>
    </row>
    <row r="5" spans="1:20" s="123" customFormat="1" ht="255">
      <c r="A5" s="125">
        <v>11</v>
      </c>
      <c r="B5" s="201"/>
      <c r="C5" s="7" t="s">
        <v>246</v>
      </c>
      <c r="D5" s="167">
        <v>45532</v>
      </c>
      <c r="E5" s="166" t="s">
        <v>246</v>
      </c>
      <c r="F5" s="196" t="s">
        <v>1387</v>
      </c>
      <c r="G5" s="186"/>
      <c r="H5" s="194" t="s">
        <v>1176</v>
      </c>
      <c r="I5" s="191"/>
      <c r="J5" s="129" t="s">
        <v>28</v>
      </c>
      <c r="K5" s="188" t="s">
        <v>28</v>
      </c>
      <c r="L5" s="193" t="s">
        <v>28</v>
      </c>
      <c r="M5" s="188" t="s">
        <v>28</v>
      </c>
      <c r="N5" s="188" t="s">
        <v>28</v>
      </c>
      <c r="O5" s="129"/>
      <c r="P5" s="127"/>
      <c r="Q5" s="11">
        <v>1</v>
      </c>
      <c r="R5" s="7" t="s">
        <v>246</v>
      </c>
      <c r="S5" s="7" t="s">
        <v>246</v>
      </c>
      <c r="T5" s="99"/>
    </row>
    <row r="6" spans="1:20" s="123" customFormat="1" ht="221">
      <c r="A6" s="125">
        <v>9</v>
      </c>
      <c r="B6" s="7" t="s">
        <v>1261</v>
      </c>
      <c r="C6" s="7" t="s">
        <v>248</v>
      </c>
      <c r="D6" s="167">
        <v>45532</v>
      </c>
      <c r="E6" s="166" t="s">
        <v>551</v>
      </c>
      <c r="F6" s="99" t="s">
        <v>1246</v>
      </c>
      <c r="G6" s="99" t="s">
        <v>1262</v>
      </c>
      <c r="H6" s="194"/>
      <c r="I6" s="191"/>
      <c r="J6" s="129" t="s">
        <v>28</v>
      </c>
      <c r="K6" s="188" t="s">
        <v>28</v>
      </c>
      <c r="L6" s="193" t="s">
        <v>28</v>
      </c>
      <c r="M6" s="188" t="s">
        <v>28</v>
      </c>
      <c r="N6" s="188" t="s">
        <v>28</v>
      </c>
      <c r="O6" s="129" t="s">
        <v>28</v>
      </c>
      <c r="P6" s="151" t="s">
        <v>28</v>
      </c>
      <c r="Q6" s="11">
        <v>1</v>
      </c>
      <c r="R6" s="7" t="s">
        <v>1191</v>
      </c>
      <c r="S6" s="7" t="s">
        <v>1258</v>
      </c>
      <c r="T6" s="99"/>
    </row>
    <row r="7" spans="1:20" s="123" customFormat="1" ht="323">
      <c r="A7" s="125">
        <v>17</v>
      </c>
      <c r="B7" s="7" t="s">
        <v>1155</v>
      </c>
      <c r="C7" s="7" t="s">
        <v>249</v>
      </c>
      <c r="D7" s="167">
        <v>45532</v>
      </c>
      <c r="E7" s="166" t="s">
        <v>547</v>
      </c>
      <c r="F7" s="152" t="s">
        <v>1367</v>
      </c>
      <c r="G7" s="223" t="s">
        <v>1388</v>
      </c>
      <c r="H7" s="197" t="s">
        <v>1170</v>
      </c>
      <c r="I7" s="191"/>
      <c r="J7" s="129"/>
      <c r="K7" s="188"/>
      <c r="L7" s="193"/>
      <c r="M7" s="188"/>
      <c r="N7" s="188"/>
      <c r="O7" s="129" t="s">
        <v>28</v>
      </c>
      <c r="P7" s="129"/>
      <c r="Q7" s="7"/>
      <c r="R7" s="7" t="s">
        <v>1368</v>
      </c>
      <c r="S7" s="7" t="s">
        <v>1265</v>
      </c>
      <c r="T7" s="99"/>
    </row>
    <row r="8" spans="1:20" s="123" customFormat="1" ht="409.6">
      <c r="A8" s="125">
        <v>18</v>
      </c>
      <c r="B8" s="7" t="s">
        <v>1162</v>
      </c>
      <c r="C8" s="7" t="s">
        <v>249</v>
      </c>
      <c r="D8" s="167">
        <v>45532</v>
      </c>
      <c r="E8" s="166" t="s">
        <v>1236</v>
      </c>
      <c r="F8" s="3" t="s">
        <v>1263</v>
      </c>
      <c r="G8" s="186" t="s">
        <v>1264</v>
      </c>
      <c r="H8" s="199" t="s">
        <v>1171</v>
      </c>
      <c r="I8" s="214"/>
      <c r="J8" s="129"/>
      <c r="K8" s="129"/>
      <c r="L8" s="20"/>
      <c r="M8" s="127"/>
      <c r="N8" s="127"/>
      <c r="O8" s="129" t="s">
        <v>28</v>
      </c>
      <c r="P8" s="129"/>
      <c r="Q8" s="11">
        <v>1</v>
      </c>
      <c r="R8" s="7" t="s">
        <v>1189</v>
      </c>
      <c r="S8" s="7" t="s">
        <v>1266</v>
      </c>
      <c r="T8" s="198"/>
    </row>
    <row r="9" spans="1:20" s="123" customFormat="1" ht="409.6">
      <c r="A9" s="125">
        <v>36</v>
      </c>
      <c r="B9" s="201" t="s">
        <v>246</v>
      </c>
      <c r="C9" s="7" t="s">
        <v>246</v>
      </c>
      <c r="D9" s="167">
        <v>45532</v>
      </c>
      <c r="E9" s="166" t="s">
        <v>246</v>
      </c>
      <c r="F9" s="196" t="s">
        <v>1386</v>
      </c>
      <c r="G9" s="99"/>
      <c r="H9" s="197" t="s">
        <v>1352</v>
      </c>
      <c r="I9" s="215"/>
      <c r="J9" s="129"/>
      <c r="K9" s="129"/>
      <c r="L9" s="1"/>
      <c r="M9" s="127"/>
      <c r="N9" s="127"/>
      <c r="O9" s="129"/>
      <c r="P9" s="129" t="s">
        <v>28</v>
      </c>
      <c r="Q9" s="11">
        <v>1</v>
      </c>
      <c r="R9" s="7" t="s">
        <v>246</v>
      </c>
      <c r="S9" s="7" t="s">
        <v>246</v>
      </c>
      <c r="T9" s="99"/>
    </row>
    <row r="10" spans="1:20" s="123" customFormat="1" ht="68">
      <c r="A10" s="125">
        <v>37</v>
      </c>
      <c r="B10" s="201" t="s">
        <v>246</v>
      </c>
      <c r="C10" s="7" t="s">
        <v>246</v>
      </c>
      <c r="D10" s="167">
        <v>45532</v>
      </c>
      <c r="E10" s="166" t="s">
        <v>246</v>
      </c>
      <c r="F10" s="196" t="s">
        <v>1156</v>
      </c>
      <c r="G10" s="186"/>
      <c r="H10" s="197" t="s">
        <v>1173</v>
      </c>
      <c r="I10" s="191"/>
      <c r="J10" s="129"/>
      <c r="K10" s="188"/>
      <c r="L10" s="1"/>
      <c r="M10" s="189"/>
      <c r="N10" s="189"/>
      <c r="O10" s="129"/>
      <c r="P10" s="129" t="s">
        <v>28</v>
      </c>
      <c r="Q10" s="11">
        <v>1</v>
      </c>
      <c r="R10" s="7" t="s">
        <v>246</v>
      </c>
      <c r="S10" s="7" t="s">
        <v>246</v>
      </c>
      <c r="T10" s="99"/>
    </row>
    <row r="11" spans="1:20" s="123" customFormat="1" ht="255">
      <c r="A11" s="125">
        <v>40</v>
      </c>
      <c r="B11" s="201" t="s">
        <v>246</v>
      </c>
      <c r="C11" s="7" t="s">
        <v>246</v>
      </c>
      <c r="D11" s="167">
        <v>45532</v>
      </c>
      <c r="E11" s="166" t="s">
        <v>246</v>
      </c>
      <c r="F11" s="196" t="s">
        <v>1387</v>
      </c>
      <c r="G11" s="99"/>
      <c r="H11" s="213" t="s">
        <v>1176</v>
      </c>
      <c r="I11" s="191"/>
      <c r="J11" s="129"/>
      <c r="K11" s="129"/>
      <c r="L11" s="20"/>
      <c r="M11" s="127"/>
      <c r="N11" s="127"/>
      <c r="O11" s="129"/>
      <c r="P11" s="129" t="s">
        <v>28</v>
      </c>
      <c r="Q11" s="11">
        <v>1</v>
      </c>
      <c r="R11" s="7" t="s">
        <v>246</v>
      </c>
      <c r="S11" s="7" t="s">
        <v>246</v>
      </c>
      <c r="T11" s="99"/>
    </row>
    <row r="12" spans="1:20" s="123" customFormat="1" ht="409.6">
      <c r="A12" s="125">
        <v>1</v>
      </c>
      <c r="B12" s="7" t="s">
        <v>1154</v>
      </c>
      <c r="C12" s="7" t="s">
        <v>249</v>
      </c>
      <c r="D12" s="167">
        <v>45532</v>
      </c>
      <c r="E12" s="166" t="s">
        <v>547</v>
      </c>
      <c r="F12" s="151" t="s">
        <v>1369</v>
      </c>
      <c r="G12" s="186" t="s">
        <v>1370</v>
      </c>
      <c r="H12" s="213" t="s">
        <v>1170</v>
      </c>
      <c r="I12" s="191"/>
      <c r="J12" s="129" t="s">
        <v>28</v>
      </c>
      <c r="K12" s="129" t="s">
        <v>28</v>
      </c>
      <c r="L12" s="129" t="s">
        <v>28</v>
      </c>
      <c r="M12" s="129" t="s">
        <v>28</v>
      </c>
      <c r="N12" s="129" t="s">
        <v>28</v>
      </c>
      <c r="O12" s="129"/>
      <c r="P12" s="129"/>
      <c r="Q12" s="7">
        <v>1</v>
      </c>
      <c r="R12" s="7" t="s">
        <v>859</v>
      </c>
      <c r="S12" s="7" t="s">
        <v>1277</v>
      </c>
      <c r="T12" s="99"/>
    </row>
    <row r="13" spans="1:20" s="123" customFormat="1" ht="409.6">
      <c r="A13" s="125">
        <v>19</v>
      </c>
      <c r="B13" s="7" t="s">
        <v>1201</v>
      </c>
      <c r="C13" s="7" t="s">
        <v>249</v>
      </c>
      <c r="D13" s="167">
        <v>45532</v>
      </c>
      <c r="E13" s="166" t="s">
        <v>1237</v>
      </c>
      <c r="F13" s="99" t="s">
        <v>1267</v>
      </c>
      <c r="G13" s="186" t="s">
        <v>1268</v>
      </c>
      <c r="H13" s="213" t="s">
        <v>1269</v>
      </c>
      <c r="I13" s="191"/>
      <c r="J13" s="129"/>
      <c r="K13" s="129"/>
      <c r="L13" s="20"/>
      <c r="M13" s="127"/>
      <c r="N13" s="127"/>
      <c r="O13" s="129" t="s">
        <v>28</v>
      </c>
      <c r="P13" s="129"/>
      <c r="Q13" s="11">
        <v>1</v>
      </c>
      <c r="R13" s="7" t="s">
        <v>1189</v>
      </c>
      <c r="S13" s="7" t="s">
        <v>1278</v>
      </c>
      <c r="T13" s="99"/>
    </row>
    <row r="14" spans="1:20" s="123" customFormat="1" ht="306">
      <c r="A14" s="125"/>
      <c r="B14" s="7" t="s">
        <v>1210</v>
      </c>
      <c r="C14" s="7" t="s">
        <v>249</v>
      </c>
      <c r="D14" s="167">
        <v>45532</v>
      </c>
      <c r="E14" s="166" t="s">
        <v>547</v>
      </c>
      <c r="F14" s="186" t="s">
        <v>1367</v>
      </c>
      <c r="G14" s="212" t="s">
        <v>1389</v>
      </c>
      <c r="H14" s="197" t="s">
        <v>1170</v>
      </c>
      <c r="I14" s="191"/>
      <c r="J14" s="129"/>
      <c r="K14" s="129"/>
      <c r="L14" s="20"/>
      <c r="M14" s="127"/>
      <c r="N14" s="127" t="s">
        <v>1259</v>
      </c>
      <c r="O14" s="129"/>
      <c r="P14" s="129" t="s">
        <v>28</v>
      </c>
      <c r="Q14" s="11">
        <v>1</v>
      </c>
      <c r="R14" s="7" t="s">
        <v>1368</v>
      </c>
      <c r="S14" s="7" t="s">
        <v>1279</v>
      </c>
      <c r="T14" s="99"/>
    </row>
    <row r="15" spans="1:20" s="123" customFormat="1" ht="409.6">
      <c r="A15" s="125">
        <v>14</v>
      </c>
      <c r="B15" s="7" t="s">
        <v>1228</v>
      </c>
      <c r="C15" s="7" t="s">
        <v>254</v>
      </c>
      <c r="D15" s="167">
        <v>45532</v>
      </c>
      <c r="E15" s="166" t="s">
        <v>1244</v>
      </c>
      <c r="F15" s="186" t="s">
        <v>1270</v>
      </c>
      <c r="G15" s="195" t="s">
        <v>1271</v>
      </c>
      <c r="H15" s="194" t="s">
        <v>1364</v>
      </c>
      <c r="I15" s="191"/>
      <c r="J15" s="129" t="s">
        <v>28</v>
      </c>
      <c r="K15" s="129" t="s">
        <v>28</v>
      </c>
      <c r="L15" s="129"/>
      <c r="M15" s="129"/>
      <c r="N15" s="129"/>
      <c r="O15" s="129"/>
      <c r="P15" s="127"/>
      <c r="Q15" s="11">
        <v>1</v>
      </c>
      <c r="R15" s="7" t="s">
        <v>260</v>
      </c>
      <c r="S15" s="7" t="s">
        <v>1198</v>
      </c>
      <c r="T15" s="99"/>
    </row>
    <row r="16" spans="1:20" s="123" customFormat="1" ht="409.6">
      <c r="A16" s="125">
        <v>14</v>
      </c>
      <c r="B16" s="7" t="s">
        <v>1225</v>
      </c>
      <c r="C16" s="7" t="s">
        <v>254</v>
      </c>
      <c r="D16" s="167">
        <v>45532</v>
      </c>
      <c r="E16" s="166" t="s">
        <v>1244</v>
      </c>
      <c r="F16" s="3" t="s">
        <v>1272</v>
      </c>
      <c r="G16" s="99" t="s">
        <v>1273</v>
      </c>
      <c r="H16" s="194" t="s">
        <v>1364</v>
      </c>
      <c r="I16" s="191"/>
      <c r="J16" s="129"/>
      <c r="K16" s="129"/>
      <c r="L16" s="129" t="s">
        <v>28</v>
      </c>
      <c r="M16" s="129" t="s">
        <v>28</v>
      </c>
      <c r="N16" s="129" t="s">
        <v>28</v>
      </c>
      <c r="O16" s="129"/>
      <c r="P16" s="127"/>
      <c r="Q16" s="11">
        <v>1</v>
      </c>
      <c r="R16" s="7" t="s">
        <v>260</v>
      </c>
      <c r="S16" s="7" t="s">
        <v>1198</v>
      </c>
      <c r="T16" s="99"/>
    </row>
    <row r="17" spans="1:20" s="123" customFormat="1" ht="409.6">
      <c r="A17" s="125">
        <v>20</v>
      </c>
      <c r="B17" s="7" t="s">
        <v>1202</v>
      </c>
      <c r="C17" s="7" t="s">
        <v>249</v>
      </c>
      <c r="D17" s="167">
        <v>45532</v>
      </c>
      <c r="E17" s="166" t="s">
        <v>1241</v>
      </c>
      <c r="F17" s="152" t="s">
        <v>1371</v>
      </c>
      <c r="G17" s="186" t="s">
        <v>1372</v>
      </c>
      <c r="H17" s="197" t="s">
        <v>1363</v>
      </c>
      <c r="I17" s="191"/>
      <c r="J17" s="129"/>
      <c r="K17" s="188"/>
      <c r="L17" s="1"/>
      <c r="M17" s="189"/>
      <c r="N17" s="189"/>
      <c r="O17" s="129" t="s">
        <v>28</v>
      </c>
      <c r="P17" s="127"/>
      <c r="Q17" s="11">
        <v>1</v>
      </c>
      <c r="R17" s="7" t="s">
        <v>1368</v>
      </c>
      <c r="S17" s="7" t="s">
        <v>1280</v>
      </c>
      <c r="T17" s="99"/>
    </row>
    <row r="18" spans="1:20" s="123" customFormat="1" ht="409.6">
      <c r="A18" s="125">
        <v>42</v>
      </c>
      <c r="B18" s="7" t="s">
        <v>1217</v>
      </c>
      <c r="C18" s="7" t="s">
        <v>249</v>
      </c>
      <c r="D18" s="167">
        <v>45532</v>
      </c>
      <c r="E18" s="166" t="s">
        <v>1244</v>
      </c>
      <c r="F18" s="99" t="s">
        <v>1250</v>
      </c>
      <c r="G18" s="186" t="s">
        <v>1274</v>
      </c>
      <c r="H18" s="197" t="s">
        <v>1365</v>
      </c>
      <c r="I18" s="191"/>
      <c r="J18" s="129"/>
      <c r="K18" s="188"/>
      <c r="L18" s="1"/>
      <c r="M18" s="189"/>
      <c r="N18" s="189"/>
      <c r="O18" s="129"/>
      <c r="P18" s="129" t="s">
        <v>28</v>
      </c>
      <c r="Q18" s="11">
        <v>1</v>
      </c>
      <c r="R18" s="7" t="s">
        <v>260</v>
      </c>
      <c r="S18" s="7" t="s">
        <v>1281</v>
      </c>
      <c r="T18" s="99"/>
    </row>
    <row r="19" spans="1:20" s="123" customFormat="1" ht="409.6">
      <c r="A19" s="125">
        <v>2</v>
      </c>
      <c r="B19" s="7" t="s">
        <v>1161</v>
      </c>
      <c r="C19" s="7" t="s">
        <v>249</v>
      </c>
      <c r="D19" s="167">
        <v>45532</v>
      </c>
      <c r="E19" s="166" t="s">
        <v>1236</v>
      </c>
      <c r="F19" s="99" t="s">
        <v>1275</v>
      </c>
      <c r="G19" s="186" t="s">
        <v>1276</v>
      </c>
      <c r="H19" s="194" t="s">
        <v>1235</v>
      </c>
      <c r="I19" s="194"/>
      <c r="J19" s="129" t="s">
        <v>28</v>
      </c>
      <c r="K19" s="188" t="s">
        <v>28</v>
      </c>
      <c r="L19" s="190" t="s">
        <v>28</v>
      </c>
      <c r="M19" s="188" t="s">
        <v>28</v>
      </c>
      <c r="N19" s="188" t="s">
        <v>28</v>
      </c>
      <c r="O19" s="129"/>
      <c r="P19" s="127"/>
      <c r="Q19" s="11">
        <v>1</v>
      </c>
      <c r="R19" s="7" t="s">
        <v>1189</v>
      </c>
      <c r="S19" s="7" t="s">
        <v>1188</v>
      </c>
      <c r="T19" s="99"/>
    </row>
    <row r="20" spans="1:20" s="123" customFormat="1" ht="409.6">
      <c r="A20" s="125">
        <v>21</v>
      </c>
      <c r="B20" s="7"/>
      <c r="C20" s="7" t="s">
        <v>249</v>
      </c>
      <c r="D20" s="167">
        <v>45532</v>
      </c>
      <c r="E20" s="166" t="s">
        <v>1164</v>
      </c>
      <c r="F20" s="99" t="s">
        <v>1356</v>
      </c>
      <c r="G20" s="186"/>
      <c r="H20" s="197" t="s">
        <v>1172</v>
      </c>
      <c r="I20" s="191"/>
      <c r="J20" s="129"/>
      <c r="K20" s="188"/>
      <c r="L20" s="1"/>
      <c r="M20" s="189"/>
      <c r="N20" s="189"/>
      <c r="O20" s="129" t="s">
        <v>28</v>
      </c>
      <c r="P20" s="127"/>
      <c r="Q20" s="11">
        <v>1</v>
      </c>
      <c r="R20" s="7" t="s">
        <v>1190</v>
      </c>
      <c r="S20" s="7" t="s">
        <v>1292</v>
      </c>
      <c r="T20" s="99"/>
    </row>
    <row r="21" spans="1:20" s="123" customFormat="1" ht="409.6">
      <c r="A21" s="125">
        <v>32</v>
      </c>
      <c r="B21" s="7" t="s">
        <v>1211</v>
      </c>
      <c r="C21" s="7" t="s">
        <v>249</v>
      </c>
      <c r="D21" s="167">
        <v>45532</v>
      </c>
      <c r="E21" s="166" t="s">
        <v>1236</v>
      </c>
      <c r="F21" s="99" t="s">
        <v>1282</v>
      </c>
      <c r="G21" s="186" t="s">
        <v>1283</v>
      </c>
      <c r="H21" s="197" t="s">
        <v>1171</v>
      </c>
      <c r="I21" s="214"/>
      <c r="J21" s="129"/>
      <c r="K21" s="188"/>
      <c r="L21" s="1"/>
      <c r="M21" s="189"/>
      <c r="N21" s="189"/>
      <c r="O21" s="129"/>
      <c r="P21" s="129" t="s">
        <v>28</v>
      </c>
      <c r="Q21" s="11">
        <v>1</v>
      </c>
      <c r="R21" s="7" t="s">
        <v>1189</v>
      </c>
      <c r="S21" s="7" t="s">
        <v>1287</v>
      </c>
      <c r="T21" s="99"/>
    </row>
    <row r="22" spans="1:20" s="123" customFormat="1" ht="409.6">
      <c r="A22" s="125">
        <v>3</v>
      </c>
      <c r="B22" s="7" t="s">
        <v>1165</v>
      </c>
      <c r="C22" s="7" t="s">
        <v>249</v>
      </c>
      <c r="D22" s="167">
        <v>45532</v>
      </c>
      <c r="E22" s="166" t="s">
        <v>1237</v>
      </c>
      <c r="F22" s="99" t="s">
        <v>1284</v>
      </c>
      <c r="G22" s="186" t="s">
        <v>1285</v>
      </c>
      <c r="H22" s="194" t="s">
        <v>1286</v>
      </c>
      <c r="I22" s="191"/>
      <c r="J22" s="129" t="s">
        <v>28</v>
      </c>
      <c r="K22" s="188" t="s">
        <v>28</v>
      </c>
      <c r="L22" s="192" t="s">
        <v>28</v>
      </c>
      <c r="M22" s="188" t="s">
        <v>28</v>
      </c>
      <c r="N22" s="188" t="s">
        <v>28</v>
      </c>
      <c r="O22" s="129"/>
      <c r="P22" s="127"/>
      <c r="Q22" s="11">
        <v>1</v>
      </c>
      <c r="R22" s="7" t="s">
        <v>1189</v>
      </c>
      <c r="S22" s="7" t="s">
        <v>1188</v>
      </c>
      <c r="T22" s="99"/>
    </row>
    <row r="23" spans="1:20" s="123" customFormat="1" ht="409.6">
      <c r="A23" s="125">
        <v>22</v>
      </c>
      <c r="B23" s="201" t="s">
        <v>246</v>
      </c>
      <c r="C23" s="7" t="s">
        <v>246</v>
      </c>
      <c r="D23" s="167">
        <v>45532</v>
      </c>
      <c r="E23" s="166" t="s">
        <v>246</v>
      </c>
      <c r="F23" s="196" t="s">
        <v>1386</v>
      </c>
      <c r="G23" s="99"/>
      <c r="H23" s="197" t="s">
        <v>1352</v>
      </c>
      <c r="I23" s="191"/>
      <c r="J23" s="129"/>
      <c r="K23" s="188"/>
      <c r="L23" s="1"/>
      <c r="M23" s="189"/>
      <c r="N23" s="189"/>
      <c r="O23" s="129" t="s">
        <v>28</v>
      </c>
      <c r="P23" s="127"/>
      <c r="Q23" s="11">
        <v>1</v>
      </c>
      <c r="R23" s="7" t="s">
        <v>246</v>
      </c>
      <c r="S23" s="7" t="s">
        <v>246</v>
      </c>
      <c r="T23" s="99"/>
    </row>
    <row r="24" spans="1:20" s="123" customFormat="1" ht="409.6">
      <c r="A24" s="125">
        <v>33</v>
      </c>
      <c r="B24" s="7" t="s">
        <v>1212</v>
      </c>
      <c r="C24" s="7" t="s">
        <v>249</v>
      </c>
      <c r="D24" s="167">
        <v>45532</v>
      </c>
      <c r="E24" s="166" t="s">
        <v>1237</v>
      </c>
      <c r="F24" s="3" t="s">
        <v>1288</v>
      </c>
      <c r="G24" s="99" t="s">
        <v>1289</v>
      </c>
      <c r="H24" s="199" t="s">
        <v>1269</v>
      </c>
      <c r="I24" s="214"/>
      <c r="J24" s="129"/>
      <c r="K24" s="129"/>
      <c r="L24" s="1"/>
      <c r="M24" s="127"/>
      <c r="N24" s="127"/>
      <c r="O24" s="129"/>
      <c r="P24" s="129" t="s">
        <v>28</v>
      </c>
      <c r="Q24" s="11">
        <v>1</v>
      </c>
      <c r="R24" s="7" t="s">
        <v>1189</v>
      </c>
      <c r="S24" s="7" t="s">
        <v>1287</v>
      </c>
      <c r="T24" s="99"/>
    </row>
    <row r="25" spans="1:20" s="123" customFormat="1" ht="409.6">
      <c r="A25" s="125">
        <v>13</v>
      </c>
      <c r="B25" s="7" t="s">
        <v>1163</v>
      </c>
      <c r="C25" s="7" t="s">
        <v>254</v>
      </c>
      <c r="D25" s="167">
        <v>45532</v>
      </c>
      <c r="E25" s="166" t="s">
        <v>550</v>
      </c>
      <c r="F25" s="99" t="s">
        <v>1247</v>
      </c>
      <c r="G25" s="99" t="s">
        <v>1290</v>
      </c>
      <c r="H25" s="194" t="s">
        <v>1365</v>
      </c>
      <c r="I25" s="215"/>
      <c r="J25" s="129" t="s">
        <v>28</v>
      </c>
      <c r="K25" s="188" t="s">
        <v>28</v>
      </c>
      <c r="L25" s="193"/>
      <c r="M25" s="188"/>
      <c r="N25" s="188"/>
      <c r="O25" s="129"/>
      <c r="P25" s="127"/>
      <c r="Q25" s="11">
        <v>1</v>
      </c>
      <c r="R25" s="7" t="s">
        <v>260</v>
      </c>
      <c r="S25" s="7" t="s">
        <v>1196</v>
      </c>
      <c r="T25" s="99"/>
    </row>
    <row r="26" spans="1:20" s="123" customFormat="1" ht="409.6">
      <c r="A26" s="125">
        <v>13</v>
      </c>
      <c r="B26" s="7" t="s">
        <v>1224</v>
      </c>
      <c r="C26" s="7" t="s">
        <v>254</v>
      </c>
      <c r="D26" s="167">
        <v>45532</v>
      </c>
      <c r="E26" s="166" t="s">
        <v>550</v>
      </c>
      <c r="F26" s="99" t="s">
        <v>1249</v>
      </c>
      <c r="G26" s="186" t="s">
        <v>1291</v>
      </c>
      <c r="H26" s="194" t="s">
        <v>1365</v>
      </c>
      <c r="I26" s="191"/>
      <c r="J26" s="129"/>
      <c r="K26" s="188"/>
      <c r="L26" s="193" t="s">
        <v>28</v>
      </c>
      <c r="M26" s="188" t="s">
        <v>28</v>
      </c>
      <c r="N26" s="188" t="s">
        <v>28</v>
      </c>
      <c r="O26" s="129"/>
      <c r="P26" s="127"/>
      <c r="Q26" s="11">
        <v>1</v>
      </c>
      <c r="R26" s="7" t="s">
        <v>260</v>
      </c>
      <c r="S26" s="7" t="s">
        <v>1197</v>
      </c>
      <c r="T26" s="99"/>
    </row>
    <row r="27" spans="1:20" s="123" customFormat="1" ht="68">
      <c r="A27" s="125">
        <v>23</v>
      </c>
      <c r="B27" s="201" t="s">
        <v>246</v>
      </c>
      <c r="C27" s="7" t="s">
        <v>246</v>
      </c>
      <c r="D27" s="167">
        <v>45532</v>
      </c>
      <c r="E27" s="166" t="s">
        <v>246</v>
      </c>
      <c r="F27" s="222" t="s">
        <v>1156</v>
      </c>
      <c r="G27" s="99"/>
      <c r="H27" s="197" t="s">
        <v>1173</v>
      </c>
      <c r="I27" s="191"/>
      <c r="J27" s="129"/>
      <c r="K27" s="188"/>
      <c r="L27" s="1"/>
      <c r="M27" s="189"/>
      <c r="N27" s="189"/>
      <c r="O27" s="129" t="s">
        <v>28</v>
      </c>
      <c r="P27" s="127"/>
      <c r="Q27" s="11">
        <v>1</v>
      </c>
      <c r="R27" s="7" t="s">
        <v>246</v>
      </c>
      <c r="S27" s="7" t="s">
        <v>246</v>
      </c>
      <c r="T27" s="99"/>
    </row>
    <row r="28" spans="1:20" s="123" customFormat="1" ht="409.6">
      <c r="A28" s="125">
        <v>4</v>
      </c>
      <c r="B28" s="7" t="s">
        <v>1166</v>
      </c>
      <c r="C28" s="7" t="s">
        <v>249</v>
      </c>
      <c r="D28" s="167">
        <v>45532</v>
      </c>
      <c r="E28" s="166" t="s">
        <v>1241</v>
      </c>
      <c r="F28" s="99" t="s">
        <v>1390</v>
      </c>
      <c r="G28" s="186" t="s">
        <v>1391</v>
      </c>
      <c r="H28" s="197" t="s">
        <v>1363</v>
      </c>
      <c r="I28" s="194" t="s">
        <v>1158</v>
      </c>
      <c r="J28" s="129" t="s">
        <v>28</v>
      </c>
      <c r="K28" s="188" t="s">
        <v>28</v>
      </c>
      <c r="L28" s="193" t="s">
        <v>28</v>
      </c>
      <c r="M28" s="188" t="s">
        <v>28</v>
      </c>
      <c r="N28" s="188" t="s">
        <v>28</v>
      </c>
      <c r="O28" s="129"/>
      <c r="P28" s="127"/>
      <c r="Q28" s="11">
        <v>1</v>
      </c>
      <c r="R28" s="7" t="s">
        <v>1368</v>
      </c>
      <c r="S28" s="7" t="s">
        <v>1277</v>
      </c>
      <c r="T28" s="99"/>
    </row>
    <row r="29" spans="1:20" s="123" customFormat="1" ht="409.6">
      <c r="A29" s="125">
        <v>25</v>
      </c>
      <c r="B29" s="7" t="s">
        <v>1203</v>
      </c>
      <c r="C29" s="7" t="s">
        <v>249</v>
      </c>
      <c r="D29" s="167">
        <v>45532</v>
      </c>
      <c r="E29" s="166" t="s">
        <v>1164</v>
      </c>
      <c r="F29" s="186" t="s">
        <v>1357</v>
      </c>
      <c r="G29" s="186" t="s">
        <v>1384</v>
      </c>
      <c r="H29" s="197" t="s">
        <v>1175</v>
      </c>
      <c r="I29" s="191"/>
      <c r="J29" s="129"/>
      <c r="K29" s="188"/>
      <c r="L29" s="1"/>
      <c r="M29" s="189"/>
      <c r="N29" s="189"/>
      <c r="O29" s="129" t="s">
        <v>28</v>
      </c>
      <c r="P29" s="127"/>
      <c r="Q29" s="11">
        <v>1</v>
      </c>
      <c r="R29" s="7" t="s">
        <v>1192</v>
      </c>
      <c r="S29" s="7" t="s">
        <v>1292</v>
      </c>
      <c r="T29" s="99"/>
    </row>
    <row r="30" spans="1:20" s="123" customFormat="1" ht="409.6">
      <c r="A30" s="125">
        <v>34</v>
      </c>
      <c r="B30" s="7" t="s">
        <v>1213</v>
      </c>
      <c r="C30" s="7" t="s">
        <v>249</v>
      </c>
      <c r="D30" s="167">
        <v>45532</v>
      </c>
      <c r="E30" s="166" t="s">
        <v>1241</v>
      </c>
      <c r="F30" s="194" t="s">
        <v>1373</v>
      </c>
      <c r="G30" s="186" t="s">
        <v>1385</v>
      </c>
      <c r="H30" s="197" t="s">
        <v>1363</v>
      </c>
      <c r="I30" s="214"/>
      <c r="J30" s="129"/>
      <c r="K30" s="188"/>
      <c r="L30" s="1"/>
      <c r="M30" s="189"/>
      <c r="N30" s="189"/>
      <c r="O30" s="129"/>
      <c r="P30" s="129" t="s">
        <v>28</v>
      </c>
      <c r="Q30" s="11">
        <v>1</v>
      </c>
      <c r="R30" s="7" t="s">
        <v>1368</v>
      </c>
      <c r="S30" s="7" t="s">
        <v>1279</v>
      </c>
      <c r="T30" s="99"/>
    </row>
    <row r="31" spans="1:20" s="123" customFormat="1" ht="255">
      <c r="A31" s="125">
        <v>26</v>
      </c>
      <c r="B31" s="201" t="s">
        <v>246</v>
      </c>
      <c r="C31" s="7" t="s">
        <v>246</v>
      </c>
      <c r="D31" s="167">
        <v>45532</v>
      </c>
      <c r="E31" s="166" t="s">
        <v>246</v>
      </c>
      <c r="F31" s="196" t="s">
        <v>1387</v>
      </c>
      <c r="G31" s="99"/>
      <c r="H31" s="197" t="s">
        <v>1176</v>
      </c>
      <c r="I31" s="191"/>
      <c r="J31" s="129"/>
      <c r="K31" s="188"/>
      <c r="L31" s="1"/>
      <c r="M31" s="189"/>
      <c r="N31" s="189"/>
      <c r="O31" s="129" t="s">
        <v>28</v>
      </c>
      <c r="P31" s="127"/>
      <c r="Q31" s="11">
        <v>1</v>
      </c>
      <c r="R31" s="7" t="s">
        <v>246</v>
      </c>
      <c r="S31" s="7" t="s">
        <v>246</v>
      </c>
      <c r="T31" s="99"/>
    </row>
    <row r="32" spans="1:20" s="123" customFormat="1" ht="409.6">
      <c r="A32" s="125">
        <v>15</v>
      </c>
      <c r="B32" s="7" t="s">
        <v>1229</v>
      </c>
      <c r="C32" s="7" t="s">
        <v>254</v>
      </c>
      <c r="D32" s="167">
        <v>45532</v>
      </c>
      <c r="E32" s="166" t="s">
        <v>549</v>
      </c>
      <c r="F32" s="186" t="s">
        <v>1293</v>
      </c>
      <c r="G32" s="186" t="s">
        <v>1294</v>
      </c>
      <c r="H32" s="194" t="s">
        <v>1295</v>
      </c>
      <c r="I32" s="191"/>
      <c r="J32" s="129" t="s">
        <v>28</v>
      </c>
      <c r="K32" s="188" t="s">
        <v>28</v>
      </c>
      <c r="L32" s="193"/>
      <c r="M32" s="188"/>
      <c r="N32" s="188"/>
      <c r="O32" s="129"/>
      <c r="P32" s="127"/>
      <c r="Q32" s="11">
        <v>1</v>
      </c>
      <c r="R32" s="7" t="s">
        <v>260</v>
      </c>
      <c r="S32" s="7" t="s">
        <v>1196</v>
      </c>
      <c r="T32" s="99"/>
    </row>
    <row r="33" spans="1:23" s="123" customFormat="1" ht="409.6">
      <c r="A33" s="125">
        <v>15</v>
      </c>
      <c r="B33" s="7" t="s">
        <v>1226</v>
      </c>
      <c r="C33" s="7" t="s">
        <v>254</v>
      </c>
      <c r="D33" s="167">
        <v>45532</v>
      </c>
      <c r="E33" s="166" t="s">
        <v>549</v>
      </c>
      <c r="F33" s="99" t="s">
        <v>1296</v>
      </c>
      <c r="G33" s="186" t="s">
        <v>1297</v>
      </c>
      <c r="H33" s="194" t="s">
        <v>1295</v>
      </c>
      <c r="I33" s="191"/>
      <c r="J33" s="129"/>
      <c r="K33" s="188"/>
      <c r="L33" s="193" t="s">
        <v>28</v>
      </c>
      <c r="M33" s="188" t="s">
        <v>28</v>
      </c>
      <c r="N33" s="188" t="s">
        <v>28</v>
      </c>
      <c r="O33" s="129"/>
      <c r="P33" s="127"/>
      <c r="Q33" s="11">
        <v>1</v>
      </c>
      <c r="R33" s="7" t="s">
        <v>260</v>
      </c>
      <c r="S33" s="7" t="s">
        <v>1197</v>
      </c>
      <c r="T33" s="99"/>
    </row>
    <row r="34" spans="1:23" s="123" customFormat="1" ht="409.6">
      <c r="A34" s="125">
        <v>28</v>
      </c>
      <c r="B34" s="7" t="s">
        <v>1206</v>
      </c>
      <c r="C34" s="7" t="s">
        <v>249</v>
      </c>
      <c r="D34" s="167">
        <v>45532</v>
      </c>
      <c r="E34" s="166" t="s">
        <v>550</v>
      </c>
      <c r="F34" s="99" t="s">
        <v>1250</v>
      </c>
      <c r="G34" s="186" t="s">
        <v>1274</v>
      </c>
      <c r="H34" s="197" t="s">
        <v>1365</v>
      </c>
      <c r="I34" s="191"/>
      <c r="J34" s="129"/>
      <c r="K34" s="188"/>
      <c r="L34" s="1"/>
      <c r="M34" s="189"/>
      <c r="N34" s="189"/>
      <c r="O34" s="129" t="s">
        <v>28</v>
      </c>
      <c r="P34" s="127"/>
      <c r="Q34" s="11">
        <v>1</v>
      </c>
      <c r="R34" s="7" t="s">
        <v>260</v>
      </c>
      <c r="S34" s="7" t="s">
        <v>1314</v>
      </c>
      <c r="T34" s="99"/>
    </row>
    <row r="35" spans="1:23" s="123" customFormat="1" ht="409.6">
      <c r="A35" s="125">
        <v>43</v>
      </c>
      <c r="B35" s="7" t="s">
        <v>1218</v>
      </c>
      <c r="C35" s="7" t="s">
        <v>254</v>
      </c>
      <c r="D35" s="167">
        <v>45532</v>
      </c>
      <c r="E35" s="166" t="s">
        <v>549</v>
      </c>
      <c r="F35" s="99" t="s">
        <v>1298</v>
      </c>
      <c r="G35" s="99" t="s">
        <v>1299</v>
      </c>
      <c r="H35" s="197" t="s">
        <v>1366</v>
      </c>
      <c r="I35" s="191"/>
      <c r="J35" s="129"/>
      <c r="K35" s="188"/>
      <c r="L35" s="1"/>
      <c r="M35" s="189"/>
      <c r="N35" s="189"/>
      <c r="O35" s="129"/>
      <c r="P35" s="129" t="s">
        <v>28</v>
      </c>
      <c r="Q35" s="11">
        <v>1</v>
      </c>
      <c r="R35" s="7" t="s">
        <v>260</v>
      </c>
      <c r="S35" s="7" t="s">
        <v>1281</v>
      </c>
      <c r="T35" s="99"/>
    </row>
    <row r="36" spans="1:23" s="123" customFormat="1" ht="119">
      <c r="A36" s="125">
        <v>16</v>
      </c>
      <c r="B36" s="7" t="s">
        <v>1230</v>
      </c>
      <c r="C36" s="7" t="s">
        <v>254</v>
      </c>
      <c r="D36" s="167">
        <v>45532</v>
      </c>
      <c r="E36" s="166" t="s">
        <v>553</v>
      </c>
      <c r="F36" s="99" t="s">
        <v>1300</v>
      </c>
      <c r="G36" s="99" t="s">
        <v>1301</v>
      </c>
      <c r="H36" s="194"/>
      <c r="I36" s="191"/>
      <c r="J36" s="129" t="s">
        <v>28</v>
      </c>
      <c r="K36" s="188" t="s">
        <v>28</v>
      </c>
      <c r="L36" s="193"/>
      <c r="M36" s="188"/>
      <c r="N36" s="188"/>
      <c r="O36" s="129"/>
      <c r="P36" s="127"/>
      <c r="Q36" s="11">
        <v>1</v>
      </c>
      <c r="R36" s="7" t="s">
        <v>260</v>
      </c>
      <c r="S36" s="7" t="s">
        <v>1199</v>
      </c>
      <c r="T36" s="99"/>
    </row>
    <row r="37" spans="1:23" s="123" customFormat="1" ht="119">
      <c r="A37" s="125">
        <v>16</v>
      </c>
      <c r="B37" s="7" t="s">
        <v>1227</v>
      </c>
      <c r="C37" s="7" t="s">
        <v>254</v>
      </c>
      <c r="D37" s="167">
        <v>45532</v>
      </c>
      <c r="E37" s="166" t="s">
        <v>553</v>
      </c>
      <c r="F37" s="99" t="s">
        <v>1300</v>
      </c>
      <c r="G37" s="99" t="s">
        <v>1302</v>
      </c>
      <c r="H37" s="194"/>
      <c r="I37" s="191"/>
      <c r="J37" s="129"/>
      <c r="K37" s="188"/>
      <c r="L37" s="193" t="s">
        <v>28</v>
      </c>
      <c r="M37" s="188" t="s">
        <v>28</v>
      </c>
      <c r="N37" s="188" t="s">
        <v>28</v>
      </c>
      <c r="O37" s="129"/>
      <c r="P37" s="127"/>
      <c r="Q37" s="11">
        <v>1</v>
      </c>
      <c r="R37" s="7" t="s">
        <v>260</v>
      </c>
      <c r="S37" s="7" t="s">
        <v>1200</v>
      </c>
      <c r="T37" s="99"/>
    </row>
    <row r="38" spans="1:23" s="123" customFormat="1" ht="409.6">
      <c r="A38" s="125">
        <v>29</v>
      </c>
      <c r="B38" s="7" t="s">
        <v>1207</v>
      </c>
      <c r="C38" s="7" t="s">
        <v>254</v>
      </c>
      <c r="D38" s="167">
        <v>45532</v>
      </c>
      <c r="E38" s="166" t="s">
        <v>1244</v>
      </c>
      <c r="F38" s="99" t="s">
        <v>1298</v>
      </c>
      <c r="G38" s="99" t="s">
        <v>1303</v>
      </c>
      <c r="H38" s="197" t="s">
        <v>1366</v>
      </c>
      <c r="I38" s="191"/>
      <c r="J38" s="129"/>
      <c r="K38" s="188"/>
      <c r="L38" s="1"/>
      <c r="M38" s="189"/>
      <c r="N38" s="189"/>
      <c r="O38" s="129" t="s">
        <v>28</v>
      </c>
      <c r="P38" s="127"/>
      <c r="Q38" s="11">
        <v>1</v>
      </c>
      <c r="R38" s="7" t="s">
        <v>260</v>
      </c>
      <c r="S38" s="7" t="s">
        <v>1314</v>
      </c>
      <c r="T38" s="99"/>
    </row>
    <row r="39" spans="1:23" s="123" customFormat="1" ht="119">
      <c r="A39" s="125">
        <v>45</v>
      </c>
      <c r="B39" s="7" t="s">
        <v>1220</v>
      </c>
      <c r="C39" s="7" t="s">
        <v>254</v>
      </c>
      <c r="D39" s="167">
        <v>45532</v>
      </c>
      <c r="E39" s="166" t="s">
        <v>553</v>
      </c>
      <c r="F39" s="3" t="s">
        <v>1304</v>
      </c>
      <c r="G39" s="99" t="s">
        <v>1305</v>
      </c>
      <c r="H39" s="197"/>
      <c r="I39" s="214"/>
      <c r="J39" s="129"/>
      <c r="K39" s="188"/>
      <c r="L39" s="1"/>
      <c r="M39" s="189"/>
      <c r="N39" s="189"/>
      <c r="O39" s="129"/>
      <c r="P39" s="129" t="s">
        <v>28</v>
      </c>
      <c r="Q39" s="11">
        <v>1</v>
      </c>
      <c r="R39" s="7" t="s">
        <v>260</v>
      </c>
      <c r="S39" s="7" t="s">
        <v>1281</v>
      </c>
      <c r="T39" s="99"/>
    </row>
    <row r="40" spans="1:23" s="123" customFormat="1" ht="409.6">
      <c r="A40" s="125"/>
      <c r="B40" s="7" t="s">
        <v>1167</v>
      </c>
      <c r="C40" s="7" t="s">
        <v>249</v>
      </c>
      <c r="D40" s="167">
        <v>45532</v>
      </c>
      <c r="E40" s="166" t="s">
        <v>556</v>
      </c>
      <c r="F40" s="99" t="s">
        <v>1374</v>
      </c>
      <c r="G40" s="99" t="s">
        <v>1375</v>
      </c>
      <c r="H40" s="194" t="s">
        <v>1174</v>
      </c>
      <c r="I40" s="215"/>
      <c r="J40" s="129" t="s">
        <v>28</v>
      </c>
      <c r="K40" s="188" t="s">
        <v>28</v>
      </c>
      <c r="L40" s="193" t="s">
        <v>28</v>
      </c>
      <c r="M40" s="188" t="s">
        <v>28</v>
      </c>
      <c r="N40" s="188" t="s">
        <v>28</v>
      </c>
      <c r="O40" s="129"/>
      <c r="P40" s="127"/>
      <c r="Q40" s="11"/>
      <c r="R40" s="7" t="s">
        <v>1368</v>
      </c>
      <c r="S40" s="7" t="s">
        <v>1193</v>
      </c>
      <c r="T40" s="99"/>
    </row>
    <row r="41" spans="1:23" s="123" customFormat="1" ht="404">
      <c r="A41" s="125">
        <v>30</v>
      </c>
      <c r="B41" s="7" t="s">
        <v>1208</v>
      </c>
      <c r="C41" s="7" t="s">
        <v>254</v>
      </c>
      <c r="D41" s="167">
        <v>45532</v>
      </c>
      <c r="E41" s="166" t="s">
        <v>549</v>
      </c>
      <c r="F41" s="99" t="s">
        <v>1306</v>
      </c>
      <c r="G41" s="186" t="s">
        <v>1307</v>
      </c>
      <c r="H41" s="197" t="s">
        <v>1295</v>
      </c>
      <c r="I41" s="215"/>
      <c r="J41" s="129"/>
      <c r="K41" s="188"/>
      <c r="L41" s="1"/>
      <c r="M41" s="189"/>
      <c r="N41" s="189"/>
      <c r="O41" s="129" t="s">
        <v>28</v>
      </c>
      <c r="P41" s="127"/>
      <c r="Q41" s="11">
        <v>1</v>
      </c>
      <c r="R41" s="7" t="s">
        <v>260</v>
      </c>
      <c r="S41" s="7" t="s">
        <v>1314</v>
      </c>
      <c r="T41" s="99"/>
    </row>
    <row r="42" spans="1:23" s="123" customFormat="1" ht="388">
      <c r="A42" s="125"/>
      <c r="B42" s="7" t="s">
        <v>1215</v>
      </c>
      <c r="C42" s="7" t="s">
        <v>249</v>
      </c>
      <c r="D42" s="167">
        <v>45532</v>
      </c>
      <c r="E42" s="166" t="s">
        <v>556</v>
      </c>
      <c r="F42" s="99" t="s">
        <v>1253</v>
      </c>
      <c r="G42" s="99" t="s">
        <v>1376</v>
      </c>
      <c r="H42" s="197" t="s">
        <v>1174</v>
      </c>
      <c r="I42" s="215"/>
      <c r="J42" s="129"/>
      <c r="K42" s="188"/>
      <c r="L42" s="1"/>
      <c r="M42" s="189"/>
      <c r="N42" s="189"/>
      <c r="O42" s="129"/>
      <c r="P42" s="129" t="s">
        <v>28</v>
      </c>
      <c r="Q42" s="11"/>
      <c r="R42" s="7" t="s">
        <v>1368</v>
      </c>
      <c r="S42" s="7" t="s">
        <v>1315</v>
      </c>
      <c r="T42" s="99"/>
      <c r="W42" s="123">
        <v>0</v>
      </c>
    </row>
    <row r="43" spans="1:23" s="123" customFormat="1" ht="136">
      <c r="A43" s="125">
        <v>46</v>
      </c>
      <c r="B43" s="7" t="s">
        <v>1231</v>
      </c>
      <c r="C43" s="7" t="s">
        <v>248</v>
      </c>
      <c r="D43" s="167">
        <v>45532</v>
      </c>
      <c r="E43" s="166" t="s">
        <v>556</v>
      </c>
      <c r="F43" s="99" t="s">
        <v>1354</v>
      </c>
      <c r="G43" s="186" t="s">
        <v>1355</v>
      </c>
      <c r="H43" s="197" t="s">
        <v>1160</v>
      </c>
      <c r="I43" s="214"/>
      <c r="J43" s="129"/>
      <c r="K43" s="188"/>
      <c r="L43" s="190" t="s">
        <v>30</v>
      </c>
      <c r="M43" s="188" t="s">
        <v>30</v>
      </c>
      <c r="N43" s="189"/>
      <c r="O43" s="129"/>
      <c r="P43" s="127"/>
      <c r="Q43" s="11">
        <v>2</v>
      </c>
      <c r="R43" s="7" t="s">
        <v>1221</v>
      </c>
      <c r="S43" s="7" t="s">
        <v>1200</v>
      </c>
      <c r="T43" s="99"/>
    </row>
    <row r="44" spans="1:23" s="123" customFormat="1" ht="204">
      <c r="A44" s="125">
        <v>47</v>
      </c>
      <c r="B44" s="7" t="s">
        <v>1232</v>
      </c>
      <c r="C44" s="7" t="s">
        <v>249</v>
      </c>
      <c r="D44" s="167">
        <v>45532</v>
      </c>
      <c r="E44" s="166" t="s">
        <v>586</v>
      </c>
      <c r="F44" s="186" t="s">
        <v>1377</v>
      </c>
      <c r="G44" s="186" t="s">
        <v>1378</v>
      </c>
      <c r="H44" s="197" t="s">
        <v>1157</v>
      </c>
      <c r="I44" s="214"/>
      <c r="J44" s="129"/>
      <c r="K44" s="188"/>
      <c r="L44" s="190" t="s">
        <v>30</v>
      </c>
      <c r="M44" s="188" t="s">
        <v>30</v>
      </c>
      <c r="N44" s="189"/>
      <c r="O44" s="129"/>
      <c r="P44" s="127"/>
      <c r="Q44" s="11">
        <v>2</v>
      </c>
      <c r="R44" s="7" t="s">
        <v>1379</v>
      </c>
      <c r="S44" s="7" t="s">
        <v>1200</v>
      </c>
      <c r="T44" s="99"/>
    </row>
    <row r="45" spans="1:23" s="123" customFormat="1" ht="409.6">
      <c r="A45" s="125"/>
      <c r="B45" s="7" t="s">
        <v>1223</v>
      </c>
      <c r="C45" s="7" t="s">
        <v>249</v>
      </c>
      <c r="D45" s="167">
        <v>45532</v>
      </c>
      <c r="E45" s="166" t="s">
        <v>1238</v>
      </c>
      <c r="F45" s="186" t="s">
        <v>1359</v>
      </c>
      <c r="G45" s="186" t="s">
        <v>1360</v>
      </c>
      <c r="H45" s="194"/>
      <c r="I45" s="191"/>
      <c r="J45" s="129" t="s">
        <v>28</v>
      </c>
      <c r="K45" s="188" t="s">
        <v>28</v>
      </c>
      <c r="L45" s="193" t="s">
        <v>28</v>
      </c>
      <c r="M45" s="188" t="s">
        <v>28</v>
      </c>
      <c r="N45" s="188" t="s">
        <v>28</v>
      </c>
      <c r="O45" s="129"/>
      <c r="P45" s="127"/>
      <c r="Q45" s="11"/>
      <c r="R45" s="7" t="s">
        <v>1195</v>
      </c>
      <c r="S45" s="7" t="s">
        <v>1316</v>
      </c>
      <c r="T45" s="99"/>
    </row>
    <row r="46" spans="1:23" s="123" customFormat="1" ht="119">
      <c r="A46" s="125">
        <v>31</v>
      </c>
      <c r="B46" s="7" t="s">
        <v>1209</v>
      </c>
      <c r="C46" s="7" t="s">
        <v>254</v>
      </c>
      <c r="D46" s="167">
        <v>45532</v>
      </c>
      <c r="E46" s="166" t="s">
        <v>553</v>
      </c>
      <c r="F46" s="3" t="s">
        <v>1251</v>
      </c>
      <c r="G46" s="99" t="s">
        <v>1308</v>
      </c>
      <c r="H46" s="197"/>
      <c r="I46" s="191"/>
      <c r="J46" s="129"/>
      <c r="K46" s="188"/>
      <c r="L46" s="1"/>
      <c r="M46" s="189"/>
      <c r="N46" s="189"/>
      <c r="O46" s="129" t="s">
        <v>28</v>
      </c>
      <c r="P46" s="127"/>
      <c r="Q46" s="11">
        <v>1</v>
      </c>
      <c r="R46" s="7" t="s">
        <v>260</v>
      </c>
      <c r="S46" s="7" t="s">
        <v>1314</v>
      </c>
      <c r="T46" s="99"/>
    </row>
    <row r="47" spans="1:23" s="123" customFormat="1" ht="409.6">
      <c r="A47" s="125"/>
      <c r="B47" s="7" t="s">
        <v>1216</v>
      </c>
      <c r="C47" s="7" t="s">
        <v>249</v>
      </c>
      <c r="D47" s="167">
        <v>45532</v>
      </c>
      <c r="E47" s="166" t="s">
        <v>1238</v>
      </c>
      <c r="F47" s="99" t="s">
        <v>1309</v>
      </c>
      <c r="G47" s="186" t="s">
        <v>1240</v>
      </c>
      <c r="H47" s="197"/>
      <c r="I47" s="191"/>
      <c r="J47" s="129"/>
      <c r="K47" s="188"/>
      <c r="L47" s="1"/>
      <c r="M47" s="189"/>
      <c r="N47" s="189"/>
      <c r="O47" s="129"/>
      <c r="P47" s="129" t="s">
        <v>28</v>
      </c>
      <c r="Q47" s="11"/>
      <c r="R47" s="7" t="s">
        <v>1368</v>
      </c>
      <c r="S47" s="7" t="s">
        <v>1315</v>
      </c>
      <c r="T47" s="99"/>
    </row>
    <row r="48" spans="1:23" s="123" customFormat="1" ht="255">
      <c r="A48" s="125">
        <v>48</v>
      </c>
      <c r="B48" s="7" t="s">
        <v>1233</v>
      </c>
      <c r="C48" s="7" t="s">
        <v>249</v>
      </c>
      <c r="D48" s="167">
        <v>45532</v>
      </c>
      <c r="E48" s="166" t="s">
        <v>1238</v>
      </c>
      <c r="F48" s="99" t="s">
        <v>1380</v>
      </c>
      <c r="G48" s="99" t="s">
        <v>1381</v>
      </c>
      <c r="H48" s="187" t="s">
        <v>1310</v>
      </c>
      <c r="I48" s="187"/>
      <c r="J48" s="129"/>
      <c r="K48" s="188"/>
      <c r="L48" s="192" t="s">
        <v>28</v>
      </c>
      <c r="M48" s="188" t="s">
        <v>28</v>
      </c>
      <c r="N48" s="189"/>
      <c r="O48" s="129"/>
      <c r="P48" s="127"/>
      <c r="Q48" s="11"/>
      <c r="R48" s="7" t="s">
        <v>1379</v>
      </c>
      <c r="S48" s="7" t="s">
        <v>1200</v>
      </c>
      <c r="T48" s="99"/>
    </row>
    <row r="49" spans="1:20" s="123" customFormat="1" ht="238">
      <c r="A49" s="125">
        <v>49</v>
      </c>
      <c r="B49" s="7" t="s">
        <v>1234</v>
      </c>
      <c r="C49" s="7" t="s">
        <v>254</v>
      </c>
      <c r="D49" s="167">
        <v>45532</v>
      </c>
      <c r="E49" s="166" t="s">
        <v>557</v>
      </c>
      <c r="F49" s="99" t="s">
        <v>1255</v>
      </c>
      <c r="G49" s="99" t="s">
        <v>1311</v>
      </c>
      <c r="H49" s="197" t="s">
        <v>1159</v>
      </c>
      <c r="I49" s="214"/>
      <c r="J49" s="129"/>
      <c r="K49" s="188"/>
      <c r="L49" s="190" t="s">
        <v>30</v>
      </c>
      <c r="M49" s="188" t="s">
        <v>30</v>
      </c>
      <c r="N49" s="189"/>
      <c r="O49" s="129"/>
      <c r="P49" s="127"/>
      <c r="Q49" s="11">
        <v>2</v>
      </c>
      <c r="R49" s="7" t="s">
        <v>260</v>
      </c>
      <c r="S49" s="7" t="s">
        <v>1222</v>
      </c>
      <c r="T49" s="99"/>
    </row>
    <row r="50" spans="1:20" s="123" customFormat="1" ht="323">
      <c r="A50" s="125">
        <v>51</v>
      </c>
      <c r="B50" s="7" t="s">
        <v>1245</v>
      </c>
      <c r="C50" s="7" t="s">
        <v>249</v>
      </c>
      <c r="D50" s="167">
        <v>45532</v>
      </c>
      <c r="E50" s="166" t="s">
        <v>635</v>
      </c>
      <c r="F50" s="99" t="s">
        <v>1257</v>
      </c>
      <c r="G50" s="99" t="s">
        <v>1256</v>
      </c>
      <c r="H50" s="194" t="s">
        <v>1242</v>
      </c>
      <c r="I50" s="210" t="s">
        <v>1239</v>
      </c>
      <c r="J50" s="129"/>
      <c r="K50" s="188"/>
      <c r="L50" s="190" t="s">
        <v>30</v>
      </c>
      <c r="M50" s="188" t="s">
        <v>30</v>
      </c>
      <c r="N50" s="189"/>
      <c r="O50" s="129"/>
      <c r="P50" s="127"/>
      <c r="Q50" s="11">
        <v>2</v>
      </c>
      <c r="R50" s="7" t="s">
        <v>260</v>
      </c>
      <c r="S50" s="7" t="s">
        <v>1200</v>
      </c>
      <c r="T50" s="99"/>
    </row>
    <row r="51" spans="1:20" s="123" customFormat="1" ht="404">
      <c r="A51" s="125">
        <v>44</v>
      </c>
      <c r="B51" s="7" t="s">
        <v>1219</v>
      </c>
      <c r="C51" s="7" t="s">
        <v>254</v>
      </c>
      <c r="D51" s="167">
        <v>45532</v>
      </c>
      <c r="E51" s="166" t="s">
        <v>1243</v>
      </c>
      <c r="F51" s="99" t="s">
        <v>1312</v>
      </c>
      <c r="G51" s="99" t="s">
        <v>1313</v>
      </c>
      <c r="H51" s="197" t="s">
        <v>1295</v>
      </c>
      <c r="I51" s="214"/>
      <c r="J51" s="129"/>
      <c r="K51" s="188"/>
      <c r="L51" s="1"/>
      <c r="M51" s="189"/>
      <c r="N51" s="189"/>
      <c r="O51" s="129"/>
      <c r="P51" s="129" t="s">
        <v>28</v>
      </c>
      <c r="Q51" s="11">
        <v>1</v>
      </c>
      <c r="R51" s="7" t="s">
        <v>260</v>
      </c>
      <c r="S51" s="7" t="s">
        <v>1281</v>
      </c>
      <c r="T51" s="99"/>
    </row>
    <row r="52" spans="1:20" s="123" customFormat="1" ht="17">
      <c r="A52" s="202">
        <v>67</v>
      </c>
      <c r="B52" s="204"/>
      <c r="C52" s="204"/>
      <c r="D52" s="206">
        <v>45533</v>
      </c>
      <c r="E52" s="208" t="s">
        <v>583</v>
      </c>
      <c r="F52" s="211" t="s">
        <v>673</v>
      </c>
      <c r="G52" s="211"/>
      <c r="H52" s="200"/>
      <c r="I52" s="211"/>
      <c r="J52" s="217"/>
      <c r="K52" s="146"/>
      <c r="L52" s="218"/>
      <c r="M52" s="146"/>
      <c r="N52" s="146"/>
      <c r="O52" s="217"/>
      <c r="P52" s="217"/>
      <c r="Q52" s="204"/>
      <c r="R52" s="204"/>
      <c r="S52" s="204"/>
      <c r="T52" s="99"/>
    </row>
    <row r="53" spans="1:20" s="123" customFormat="1" ht="409.6">
      <c r="A53" s="125">
        <v>5</v>
      </c>
      <c r="B53" s="7"/>
      <c r="C53" s="7" t="s">
        <v>249</v>
      </c>
      <c r="D53" s="167">
        <v>45532</v>
      </c>
      <c r="E53" s="166" t="s">
        <v>1164</v>
      </c>
      <c r="F53" s="99" t="s">
        <v>1358</v>
      </c>
      <c r="G53" s="99"/>
      <c r="H53" s="197" t="s">
        <v>1172</v>
      </c>
      <c r="I53" s="215"/>
      <c r="J53" s="129" t="s">
        <v>28</v>
      </c>
      <c r="K53" s="188"/>
      <c r="L53" s="193" t="s">
        <v>28</v>
      </c>
      <c r="M53" s="188"/>
      <c r="N53" s="188" t="s">
        <v>28</v>
      </c>
      <c r="O53" s="129"/>
      <c r="P53" s="127"/>
      <c r="Q53" s="11">
        <v>1</v>
      </c>
      <c r="R53" s="7" t="s">
        <v>1190</v>
      </c>
      <c r="S53" s="7" t="s">
        <v>1193</v>
      </c>
      <c r="T53" s="99"/>
    </row>
    <row r="54" spans="1:20" s="123" customFormat="1" ht="409.6">
      <c r="A54" s="125">
        <v>6</v>
      </c>
      <c r="B54" s="7"/>
      <c r="C54" s="7" t="s">
        <v>249</v>
      </c>
      <c r="D54" s="167">
        <v>45532</v>
      </c>
      <c r="E54" s="166" t="s">
        <v>1164</v>
      </c>
      <c r="F54" s="99" t="s">
        <v>1361</v>
      </c>
      <c r="G54" s="99"/>
      <c r="H54" s="197" t="s">
        <v>1172</v>
      </c>
      <c r="I54" s="215"/>
      <c r="J54" s="129"/>
      <c r="K54" s="188" t="s">
        <v>28</v>
      </c>
      <c r="L54" s="193"/>
      <c r="M54" s="188" t="s">
        <v>28</v>
      </c>
      <c r="N54" s="188"/>
      <c r="O54" s="129"/>
      <c r="P54" s="127"/>
      <c r="Q54" s="11">
        <v>1</v>
      </c>
      <c r="R54" s="7" t="s">
        <v>1190</v>
      </c>
      <c r="S54" s="7" t="s">
        <v>1193</v>
      </c>
      <c r="T54" s="99"/>
    </row>
    <row r="55" spans="1:20" s="123" customFormat="1" ht="409.6">
      <c r="A55" s="125">
        <v>10</v>
      </c>
      <c r="B55" s="7" t="s">
        <v>1168</v>
      </c>
      <c r="C55" s="7" t="s">
        <v>249</v>
      </c>
      <c r="D55" s="167">
        <v>45532</v>
      </c>
      <c r="E55" s="166" t="s">
        <v>1164</v>
      </c>
      <c r="F55" s="151" t="s">
        <v>1248</v>
      </c>
      <c r="G55" s="186" t="s">
        <v>1392</v>
      </c>
      <c r="H55" s="194" t="s">
        <v>1175</v>
      </c>
      <c r="I55" s="215"/>
      <c r="J55" s="129" t="s">
        <v>28</v>
      </c>
      <c r="K55" s="188" t="s">
        <v>28</v>
      </c>
      <c r="L55" s="193" t="s">
        <v>28</v>
      </c>
      <c r="M55" s="188" t="s">
        <v>28</v>
      </c>
      <c r="N55" s="188" t="s">
        <v>28</v>
      </c>
      <c r="O55" s="129"/>
      <c r="P55" s="127"/>
      <c r="Q55" s="11">
        <v>1</v>
      </c>
      <c r="R55" s="7" t="s">
        <v>1192</v>
      </c>
      <c r="S55" s="7" t="s">
        <v>1193</v>
      </c>
      <c r="T55" s="99"/>
    </row>
    <row r="56" spans="1:20" s="123" customFormat="1" ht="409.6">
      <c r="A56" s="125"/>
      <c r="B56" s="7" t="s">
        <v>1204</v>
      </c>
      <c r="C56" s="7" t="s">
        <v>249</v>
      </c>
      <c r="D56" s="167">
        <v>45532</v>
      </c>
      <c r="E56" s="166" t="s">
        <v>556</v>
      </c>
      <c r="F56" s="99" t="s">
        <v>1382</v>
      </c>
      <c r="G56" s="99" t="s">
        <v>1383</v>
      </c>
      <c r="H56" s="197" t="s">
        <v>1174</v>
      </c>
      <c r="I56" s="191"/>
      <c r="J56" s="129"/>
      <c r="K56" s="188"/>
      <c r="L56" s="1"/>
      <c r="M56" s="189"/>
      <c r="N56" s="189"/>
      <c r="O56" s="129" t="s">
        <v>28</v>
      </c>
      <c r="P56" s="127"/>
      <c r="Q56" s="11"/>
      <c r="R56" s="7" t="s">
        <v>1368</v>
      </c>
      <c r="S56" s="7" t="s">
        <v>1292</v>
      </c>
      <c r="T56" s="99"/>
    </row>
    <row r="57" spans="1:20" s="123" customFormat="1" ht="409.6">
      <c r="A57" s="125"/>
      <c r="B57" s="7" t="s">
        <v>1205</v>
      </c>
      <c r="C57" s="7" t="s">
        <v>249</v>
      </c>
      <c r="D57" s="167">
        <v>45532</v>
      </c>
      <c r="E57" s="166" t="s">
        <v>1238</v>
      </c>
      <c r="F57" s="99" t="s">
        <v>1359</v>
      </c>
      <c r="G57" s="186" t="s">
        <v>1362</v>
      </c>
      <c r="H57" s="197"/>
      <c r="I57" s="215"/>
      <c r="J57" s="129"/>
      <c r="K57" s="188"/>
      <c r="L57" s="1"/>
      <c r="M57" s="189"/>
      <c r="N57" s="189"/>
      <c r="O57" s="129" t="s">
        <v>28</v>
      </c>
      <c r="P57" s="127"/>
      <c r="Q57" s="11"/>
      <c r="R57" s="7" t="s">
        <v>1195</v>
      </c>
      <c r="S57" s="7" t="s">
        <v>1292</v>
      </c>
      <c r="T57" s="99"/>
    </row>
    <row r="58" spans="1:20" s="123" customFormat="1" ht="404">
      <c r="A58" s="125">
        <v>35</v>
      </c>
      <c r="B58" s="7"/>
      <c r="C58" s="7" t="s">
        <v>249</v>
      </c>
      <c r="D58" s="167">
        <v>45532</v>
      </c>
      <c r="E58" s="166" t="s">
        <v>1164</v>
      </c>
      <c r="F58" s="99" t="s">
        <v>1353</v>
      </c>
      <c r="G58" s="99"/>
      <c r="H58" s="197" t="s">
        <v>1172</v>
      </c>
      <c r="I58" s="216"/>
      <c r="J58" s="129"/>
      <c r="K58" s="188"/>
      <c r="L58" s="1"/>
      <c r="M58" s="189"/>
      <c r="N58" s="189"/>
      <c r="O58" s="129"/>
      <c r="P58" s="129" t="s">
        <v>28</v>
      </c>
      <c r="Q58" s="11">
        <v>1</v>
      </c>
      <c r="R58" s="7" t="s">
        <v>260</v>
      </c>
      <c r="S58" s="7" t="s">
        <v>1190</v>
      </c>
      <c r="T58" s="99"/>
    </row>
    <row r="59" spans="1:20" s="123" customFormat="1" ht="409.6">
      <c r="A59" s="125">
        <v>39</v>
      </c>
      <c r="B59" s="7" t="s">
        <v>1214</v>
      </c>
      <c r="C59" s="7" t="s">
        <v>249</v>
      </c>
      <c r="D59" s="167">
        <v>45532</v>
      </c>
      <c r="E59" s="166" t="s">
        <v>1164</v>
      </c>
      <c r="F59" s="151" t="s">
        <v>1252</v>
      </c>
      <c r="G59" s="186" t="s">
        <v>1393</v>
      </c>
      <c r="H59" s="197" t="s">
        <v>1175</v>
      </c>
      <c r="I59" s="215"/>
      <c r="J59" s="129"/>
      <c r="K59" s="188"/>
      <c r="L59" s="1"/>
      <c r="M59" s="189"/>
      <c r="N59" s="189"/>
      <c r="O59" s="129"/>
      <c r="P59" s="129" t="s">
        <v>28</v>
      </c>
      <c r="Q59" s="11">
        <v>1</v>
      </c>
      <c r="R59" s="7" t="s">
        <v>1192</v>
      </c>
      <c r="S59" s="7" t="s">
        <v>1315</v>
      </c>
      <c r="T59" s="99"/>
    </row>
    <row r="60" spans="1:20" ht="85">
      <c r="A60" s="203"/>
      <c r="B60" s="205"/>
      <c r="C60" s="205"/>
      <c r="D60" s="207"/>
      <c r="E60" s="209"/>
      <c r="F60" s="186"/>
      <c r="G60" s="186" t="s">
        <v>1254</v>
      </c>
      <c r="H60" s="194"/>
      <c r="I60" s="214"/>
      <c r="J60" s="188"/>
      <c r="K60" s="188"/>
      <c r="L60" s="219"/>
      <c r="M60" s="189"/>
      <c r="N60" s="189"/>
      <c r="O60" s="188"/>
      <c r="P60" s="189"/>
      <c r="Q60" s="221"/>
      <c r="R60" s="205"/>
      <c r="S60" s="205"/>
      <c r="T60" s="186"/>
    </row>
  </sheetData>
  <mergeCells count="1">
    <mergeCell ref="J1:P1"/>
  </mergeCells>
  <phoneticPr fontId="8" type="noConversion"/>
  <conditionalFormatting sqref="J3:P59">
    <cfRule type="notContainsBlanks" dxfId="3" priority="8">
      <formula>LEN(TRIM(J3))&gt;0</formula>
    </cfRule>
  </conditionalFormatting>
  <pageMargins left="0.7" right="0.7" top="0.75" bottom="0.75" header="0.3" footer="0.3"/>
  <pageSetup paperSize="9"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C29D9-79EF-4976-8B39-092DAD8D5ACB}">
  <dimension ref="A1:D318"/>
  <sheetViews>
    <sheetView workbookViewId="0">
      <selection activeCell="C5" sqref="C5"/>
    </sheetView>
  </sheetViews>
  <sheetFormatPr baseColWidth="10" defaultColWidth="8.7109375" defaultRowHeight="16"/>
  <cols>
    <col min="1" max="1" width="80" style="168" customWidth="1"/>
    <col min="2" max="2" width="29" style="6" customWidth="1"/>
    <col min="3" max="3" width="53.7109375" style="6" customWidth="1"/>
    <col min="4" max="4" width="65.140625" customWidth="1"/>
  </cols>
  <sheetData>
    <row r="1" spans="1:4" ht="17">
      <c r="A1" s="4" t="s">
        <v>675</v>
      </c>
      <c r="B1" s="6" t="s">
        <v>676</v>
      </c>
      <c r="C1" s="6" t="s">
        <v>674</v>
      </c>
    </row>
    <row r="2" spans="1:4" ht="51">
      <c r="A2" s="168" t="s">
        <v>680</v>
      </c>
      <c r="B2" s="6" t="s">
        <v>678</v>
      </c>
      <c r="C2" s="6" t="s">
        <v>679</v>
      </c>
      <c r="D2" t="s">
        <v>677</v>
      </c>
    </row>
    <row r="3" spans="1:4" ht="34">
      <c r="A3" s="168" t="s">
        <v>681</v>
      </c>
      <c r="B3" s="6" t="s">
        <v>678</v>
      </c>
      <c r="C3" s="6" t="s">
        <v>679</v>
      </c>
    </row>
    <row r="4" spans="1:4" ht="34">
      <c r="A4" s="168" t="s">
        <v>682</v>
      </c>
      <c r="B4" s="6" t="s">
        <v>678</v>
      </c>
      <c r="C4" s="6" t="s">
        <v>679</v>
      </c>
    </row>
    <row r="5" spans="1:4" ht="51">
      <c r="A5" s="168" t="s">
        <v>683</v>
      </c>
      <c r="B5" s="6" t="s">
        <v>684</v>
      </c>
      <c r="C5" s="6" t="s">
        <v>679</v>
      </c>
    </row>
    <row r="6" spans="1:4" ht="68">
      <c r="A6" s="168" t="s">
        <v>685</v>
      </c>
      <c r="B6" s="6" t="s">
        <v>686</v>
      </c>
      <c r="C6" s="6" t="s">
        <v>687</v>
      </c>
    </row>
    <row r="7" spans="1:4" ht="34">
      <c r="A7" s="168" t="s">
        <v>688</v>
      </c>
      <c r="B7" s="6" t="s">
        <v>689</v>
      </c>
      <c r="C7" s="6" t="s">
        <v>690</v>
      </c>
    </row>
    <row r="8" spans="1:4" ht="136">
      <c r="A8" s="168" t="s">
        <v>691</v>
      </c>
      <c r="B8" s="6" t="s">
        <v>692</v>
      </c>
      <c r="C8" s="6" t="s">
        <v>693</v>
      </c>
    </row>
    <row r="9" spans="1:4" ht="34">
      <c r="A9" s="168" t="s">
        <v>694</v>
      </c>
      <c r="B9" s="6" t="s">
        <v>697</v>
      </c>
      <c r="C9" s="6" t="s">
        <v>693</v>
      </c>
    </row>
    <row r="10" spans="1:4" ht="34">
      <c r="A10" s="168" t="s">
        <v>695</v>
      </c>
      <c r="B10" s="6" t="s">
        <v>696</v>
      </c>
      <c r="C10" s="6" t="s">
        <v>693</v>
      </c>
    </row>
    <row r="11" spans="1:4" ht="51">
      <c r="A11" s="168" t="s">
        <v>698</v>
      </c>
      <c r="B11" s="6" t="s">
        <v>699</v>
      </c>
      <c r="C11" s="6" t="s">
        <v>693</v>
      </c>
    </row>
    <row r="12" spans="1:4" ht="119">
      <c r="A12" s="168" t="s">
        <v>700</v>
      </c>
      <c r="B12" s="6" t="s">
        <v>701</v>
      </c>
      <c r="C12" s="6" t="s">
        <v>693</v>
      </c>
    </row>
    <row r="13" spans="1:4" ht="85">
      <c r="A13" s="168" t="s">
        <v>702</v>
      </c>
      <c r="B13" s="6" t="s">
        <v>703</v>
      </c>
      <c r="C13" s="6" t="s">
        <v>693</v>
      </c>
    </row>
    <row r="14" spans="1:4" ht="34">
      <c r="A14" s="168" t="s">
        <v>704</v>
      </c>
      <c r="B14" s="6" t="s">
        <v>705</v>
      </c>
      <c r="C14" s="6" t="s">
        <v>693</v>
      </c>
    </row>
    <row r="15" spans="1:4" ht="34">
      <c r="A15" s="168" t="s">
        <v>706</v>
      </c>
      <c r="B15" s="6" t="s">
        <v>707</v>
      </c>
      <c r="C15" s="6" t="s">
        <v>711</v>
      </c>
    </row>
    <row r="16" spans="1:4" ht="34">
      <c r="A16" s="168" t="s">
        <v>708</v>
      </c>
      <c r="B16" s="6" t="s">
        <v>709</v>
      </c>
      <c r="C16" s="6" t="s">
        <v>710</v>
      </c>
    </row>
    <row r="17" spans="1:3" ht="34">
      <c r="A17" s="168" t="s">
        <v>712</v>
      </c>
      <c r="B17" s="6" t="s">
        <v>678</v>
      </c>
      <c r="C17" s="6" t="s">
        <v>713</v>
      </c>
    </row>
    <row r="18" spans="1:3" ht="34">
      <c r="A18" s="168" t="s">
        <v>714</v>
      </c>
      <c r="B18" s="6" t="s">
        <v>678</v>
      </c>
      <c r="C18" s="6" t="s">
        <v>713</v>
      </c>
    </row>
    <row r="19" spans="1:3" ht="34">
      <c r="A19" s="168" t="s">
        <v>715</v>
      </c>
      <c r="B19" s="6" t="s">
        <v>678</v>
      </c>
      <c r="C19" s="6" t="s">
        <v>713</v>
      </c>
    </row>
    <row r="20" spans="1:3" ht="34">
      <c r="A20" s="168" t="s">
        <v>716</v>
      </c>
      <c r="B20" s="6" t="s">
        <v>678</v>
      </c>
      <c r="C20" s="6" t="s">
        <v>713</v>
      </c>
    </row>
    <row r="21" spans="1:3" ht="51">
      <c r="A21" s="168" t="s">
        <v>717</v>
      </c>
      <c r="B21" s="6" t="s">
        <v>678</v>
      </c>
      <c r="C21" s="6" t="s">
        <v>713</v>
      </c>
    </row>
    <row r="22" spans="1:3" ht="34">
      <c r="A22" s="168" t="s">
        <v>718</v>
      </c>
      <c r="B22" s="6" t="s">
        <v>678</v>
      </c>
      <c r="C22" s="6" t="s">
        <v>713</v>
      </c>
    </row>
    <row r="23" spans="1:3" ht="34">
      <c r="A23" s="168" t="s">
        <v>719</v>
      </c>
      <c r="B23" s="6" t="s">
        <v>678</v>
      </c>
      <c r="C23" s="6" t="s">
        <v>713</v>
      </c>
    </row>
    <row r="24" spans="1:3" ht="34">
      <c r="A24" s="168" t="s">
        <v>720</v>
      </c>
      <c r="B24" s="6" t="s">
        <v>678</v>
      </c>
      <c r="C24" s="6" t="s">
        <v>713</v>
      </c>
    </row>
    <row r="25" spans="1:3" ht="51">
      <c r="A25" s="168" t="s">
        <v>723</v>
      </c>
      <c r="B25" s="6" t="s">
        <v>678</v>
      </c>
      <c r="C25" s="6" t="s">
        <v>721</v>
      </c>
    </row>
    <row r="26" spans="1:3" ht="51">
      <c r="A26" s="168" t="s">
        <v>722</v>
      </c>
      <c r="B26" s="6" t="s">
        <v>724</v>
      </c>
      <c r="C26" s="6" t="s">
        <v>721</v>
      </c>
    </row>
    <row r="27" spans="1:3" ht="34">
      <c r="A27" s="168" t="s">
        <v>740</v>
      </c>
      <c r="B27" s="6" t="s">
        <v>726</v>
      </c>
      <c r="C27" s="6" t="s">
        <v>741</v>
      </c>
    </row>
    <row r="28" spans="1:3" ht="34">
      <c r="A28" s="168" t="s">
        <v>725</v>
      </c>
      <c r="B28" s="6" t="s">
        <v>724</v>
      </c>
      <c r="C28" s="6" t="s">
        <v>741</v>
      </c>
    </row>
    <row r="29" spans="1:3" ht="34">
      <c r="A29" s="168" t="s">
        <v>727</v>
      </c>
      <c r="B29" s="6" t="s">
        <v>730</v>
      </c>
      <c r="C29" s="6" t="s">
        <v>742</v>
      </c>
    </row>
    <row r="30" spans="1:3" ht="34">
      <c r="A30" s="168" t="s">
        <v>728</v>
      </c>
      <c r="B30" s="6" t="s">
        <v>730</v>
      </c>
      <c r="C30" s="6" t="s">
        <v>742</v>
      </c>
    </row>
    <row r="31" spans="1:3" ht="34">
      <c r="A31" s="168" t="s">
        <v>729</v>
      </c>
      <c r="B31" s="6" t="s">
        <v>730</v>
      </c>
      <c r="C31" s="6" t="s">
        <v>742</v>
      </c>
    </row>
    <row r="32" spans="1:3" ht="34">
      <c r="A32" s="168" t="s">
        <v>731</v>
      </c>
      <c r="B32" s="6" t="s">
        <v>739</v>
      </c>
      <c r="C32" s="6" t="s">
        <v>743</v>
      </c>
    </row>
    <row r="33" spans="1:3" ht="34">
      <c r="A33" s="168" t="s">
        <v>732</v>
      </c>
      <c r="B33" s="6" t="s">
        <v>739</v>
      </c>
      <c r="C33" s="6" t="s">
        <v>743</v>
      </c>
    </row>
    <row r="34" spans="1:3" ht="34">
      <c r="A34" s="168" t="s">
        <v>733</v>
      </c>
      <c r="B34" s="6" t="s">
        <v>739</v>
      </c>
      <c r="C34" s="6" t="s">
        <v>743</v>
      </c>
    </row>
    <row r="35" spans="1:3" ht="34">
      <c r="A35" s="168" t="s">
        <v>734</v>
      </c>
      <c r="B35" s="6" t="s">
        <v>739</v>
      </c>
      <c r="C35" s="6" t="s">
        <v>743</v>
      </c>
    </row>
    <row r="36" spans="1:3" ht="34">
      <c r="A36" s="168" t="s">
        <v>735</v>
      </c>
      <c r="B36" s="6" t="s">
        <v>739</v>
      </c>
      <c r="C36" s="6" t="s">
        <v>743</v>
      </c>
    </row>
    <row r="37" spans="1:3" ht="34">
      <c r="A37" s="168" t="s">
        <v>736</v>
      </c>
      <c r="B37" s="6" t="s">
        <v>739</v>
      </c>
      <c r="C37" s="6" t="s">
        <v>743</v>
      </c>
    </row>
    <row r="38" spans="1:3" ht="34">
      <c r="A38" s="168" t="s">
        <v>737</v>
      </c>
      <c r="B38" s="6" t="s">
        <v>739</v>
      </c>
      <c r="C38" s="6" t="s">
        <v>743</v>
      </c>
    </row>
    <row r="39" spans="1:3" ht="34">
      <c r="A39" s="168" t="s">
        <v>738</v>
      </c>
      <c r="B39" s="6" t="s">
        <v>739</v>
      </c>
      <c r="C39" s="6" t="s">
        <v>743</v>
      </c>
    </row>
    <row r="40" spans="1:3" ht="34">
      <c r="A40" s="168" t="s">
        <v>744</v>
      </c>
      <c r="B40" s="6" t="s">
        <v>750</v>
      </c>
      <c r="C40" s="6" t="s">
        <v>751</v>
      </c>
    </row>
    <row r="41" spans="1:3" ht="34">
      <c r="A41" s="168" t="s">
        <v>745</v>
      </c>
      <c r="B41" s="6" t="s">
        <v>750</v>
      </c>
      <c r="C41" s="6" t="s">
        <v>751</v>
      </c>
    </row>
    <row r="42" spans="1:3" ht="34">
      <c r="A42" s="168" t="s">
        <v>746</v>
      </c>
      <c r="B42" s="6" t="s">
        <v>750</v>
      </c>
      <c r="C42" s="6" t="s">
        <v>751</v>
      </c>
    </row>
    <row r="43" spans="1:3" ht="34">
      <c r="A43" s="168" t="s">
        <v>747</v>
      </c>
      <c r="B43" s="6" t="s">
        <v>750</v>
      </c>
      <c r="C43" s="6" t="s">
        <v>751</v>
      </c>
    </row>
    <row r="44" spans="1:3" ht="51">
      <c r="A44" s="168" t="s">
        <v>748</v>
      </c>
      <c r="B44" s="6" t="s">
        <v>750</v>
      </c>
      <c r="C44" s="6" t="s">
        <v>751</v>
      </c>
    </row>
    <row r="45" spans="1:3" ht="34">
      <c r="A45" s="168" t="s">
        <v>749</v>
      </c>
      <c r="B45" s="6" t="s">
        <v>750</v>
      </c>
      <c r="C45" s="6" t="s">
        <v>751</v>
      </c>
    </row>
    <row r="46" spans="1:3" ht="34">
      <c r="A46" s="168" t="s">
        <v>752</v>
      </c>
      <c r="B46" s="6" t="s">
        <v>699</v>
      </c>
      <c r="C46" s="6" t="s">
        <v>756</v>
      </c>
    </row>
    <row r="47" spans="1:3" ht="34">
      <c r="A47" s="168" t="s">
        <v>753</v>
      </c>
      <c r="B47" s="6" t="s">
        <v>699</v>
      </c>
      <c r="C47" s="6" t="s">
        <v>756</v>
      </c>
    </row>
    <row r="48" spans="1:3" ht="34">
      <c r="A48" s="168" t="s">
        <v>754</v>
      </c>
      <c r="B48" s="6" t="s">
        <v>699</v>
      </c>
      <c r="C48" s="6" t="s">
        <v>756</v>
      </c>
    </row>
    <row r="49" spans="1:3" ht="34">
      <c r="A49" s="168" t="s">
        <v>755</v>
      </c>
      <c r="B49" s="6" t="s">
        <v>699</v>
      </c>
      <c r="C49" s="6" t="s">
        <v>756</v>
      </c>
    </row>
    <row r="50" spans="1:3" ht="34">
      <c r="A50" s="168" t="s">
        <v>758</v>
      </c>
      <c r="B50" s="6" t="s">
        <v>759</v>
      </c>
      <c r="C50" s="6" t="s">
        <v>760</v>
      </c>
    </row>
    <row r="51" spans="1:3" ht="34">
      <c r="A51" s="168" t="s">
        <v>757</v>
      </c>
      <c r="B51" s="6" t="s">
        <v>759</v>
      </c>
      <c r="C51" s="6" t="s">
        <v>760</v>
      </c>
    </row>
    <row r="52" spans="1:3" ht="34">
      <c r="A52" s="168" t="s">
        <v>761</v>
      </c>
      <c r="B52" s="6" t="s">
        <v>767</v>
      </c>
      <c r="C52" s="6" t="s">
        <v>768</v>
      </c>
    </row>
    <row r="53" spans="1:3" ht="34">
      <c r="A53" s="168" t="s">
        <v>762</v>
      </c>
      <c r="B53" s="6" t="s">
        <v>767</v>
      </c>
      <c r="C53" s="6" t="s">
        <v>768</v>
      </c>
    </row>
    <row r="54" spans="1:3" ht="34">
      <c r="A54" s="168" t="s">
        <v>763</v>
      </c>
      <c r="B54" s="6" t="s">
        <v>767</v>
      </c>
      <c r="C54" s="6" t="s">
        <v>768</v>
      </c>
    </row>
    <row r="55" spans="1:3" ht="34">
      <c r="A55" s="168" t="s">
        <v>764</v>
      </c>
      <c r="B55" s="6" t="s">
        <v>767</v>
      </c>
      <c r="C55" s="6" t="s">
        <v>768</v>
      </c>
    </row>
    <row r="56" spans="1:3" ht="34">
      <c r="A56" s="168" t="s">
        <v>765</v>
      </c>
      <c r="B56" s="6" t="s">
        <v>767</v>
      </c>
      <c r="C56" s="6" t="s">
        <v>768</v>
      </c>
    </row>
    <row r="57" spans="1:3" ht="34">
      <c r="A57" s="168" t="s">
        <v>766</v>
      </c>
      <c r="B57" s="6" t="s">
        <v>767</v>
      </c>
      <c r="C57" s="6" t="s">
        <v>768</v>
      </c>
    </row>
    <row r="58" spans="1:3" ht="102">
      <c r="A58" s="168" t="s">
        <v>796</v>
      </c>
      <c r="B58" s="6" t="s">
        <v>769</v>
      </c>
      <c r="C58" s="6" t="s">
        <v>809</v>
      </c>
    </row>
    <row r="59" spans="1:3" ht="170">
      <c r="A59" s="168" t="s">
        <v>797</v>
      </c>
      <c r="B59" s="6" t="s">
        <v>769</v>
      </c>
      <c r="C59" s="6" t="s">
        <v>809</v>
      </c>
    </row>
    <row r="60" spans="1:3" ht="204">
      <c r="A60" s="168" t="s">
        <v>798</v>
      </c>
      <c r="B60" s="6" t="s">
        <v>769</v>
      </c>
      <c r="C60" s="6" t="s">
        <v>809</v>
      </c>
    </row>
    <row r="61" spans="1:3" ht="119">
      <c r="A61" s="168" t="s">
        <v>1317</v>
      </c>
      <c r="B61" s="6" t="s">
        <v>769</v>
      </c>
      <c r="C61" s="6" t="s">
        <v>809</v>
      </c>
    </row>
    <row r="62" spans="1:3" ht="85">
      <c r="A62" s="168" t="s">
        <v>799</v>
      </c>
      <c r="B62" s="6" t="s">
        <v>769</v>
      </c>
      <c r="C62" s="6" t="s">
        <v>809</v>
      </c>
    </row>
    <row r="63" spans="1:3" ht="68">
      <c r="A63" s="168" t="s">
        <v>800</v>
      </c>
      <c r="B63" s="6" t="s">
        <v>769</v>
      </c>
      <c r="C63" s="6" t="s">
        <v>809</v>
      </c>
    </row>
    <row r="64" spans="1:3" ht="85">
      <c r="A64" s="168" t="s">
        <v>801</v>
      </c>
      <c r="B64" s="6" t="s">
        <v>769</v>
      </c>
      <c r="C64" s="6" t="s">
        <v>809</v>
      </c>
    </row>
    <row r="65" spans="1:3" ht="68">
      <c r="A65" s="168" t="s">
        <v>802</v>
      </c>
      <c r="B65" s="6" t="s">
        <v>769</v>
      </c>
      <c r="C65" s="6" t="s">
        <v>809</v>
      </c>
    </row>
    <row r="66" spans="1:3" ht="85">
      <c r="A66" s="168" t="s">
        <v>803</v>
      </c>
      <c r="B66" s="6" t="s">
        <v>769</v>
      </c>
      <c r="C66" s="6" t="s">
        <v>809</v>
      </c>
    </row>
    <row r="67" spans="1:3" ht="136">
      <c r="A67" s="168" t="s">
        <v>804</v>
      </c>
      <c r="B67" s="6" t="s">
        <v>770</v>
      </c>
      <c r="C67" s="6" t="s">
        <v>808</v>
      </c>
    </row>
    <row r="68" spans="1:3" ht="85">
      <c r="A68" s="168" t="s">
        <v>805</v>
      </c>
      <c r="B68" s="6" t="s">
        <v>770</v>
      </c>
      <c r="C68" s="6" t="s">
        <v>808</v>
      </c>
    </row>
    <row r="69" spans="1:3" ht="119">
      <c r="A69" s="168" t="s">
        <v>806</v>
      </c>
      <c r="B69" s="6" t="s">
        <v>770</v>
      </c>
      <c r="C69" s="6" t="s">
        <v>808</v>
      </c>
    </row>
    <row r="70" spans="1:3" ht="68">
      <c r="A70" s="168" t="s">
        <v>807</v>
      </c>
      <c r="B70" s="6" t="s">
        <v>770</v>
      </c>
      <c r="C70" s="6" t="s">
        <v>808</v>
      </c>
    </row>
    <row r="71" spans="1:3" ht="102">
      <c r="A71" s="168" t="s">
        <v>811</v>
      </c>
      <c r="B71" s="6" t="s">
        <v>770</v>
      </c>
      <c r="C71" s="6" t="s">
        <v>810</v>
      </c>
    </row>
    <row r="72" spans="1:3" ht="102">
      <c r="A72" s="168" t="s">
        <v>812</v>
      </c>
      <c r="B72" s="6" t="s">
        <v>770</v>
      </c>
      <c r="C72" s="6" t="s">
        <v>810</v>
      </c>
    </row>
    <row r="73" spans="1:3" ht="153">
      <c r="A73" s="168" t="s">
        <v>1318</v>
      </c>
      <c r="B73" s="6" t="s">
        <v>770</v>
      </c>
      <c r="C73" s="6" t="s">
        <v>810</v>
      </c>
    </row>
    <row r="74" spans="1:3" ht="102">
      <c r="A74" s="168" t="s">
        <v>813</v>
      </c>
      <c r="B74" s="6" t="s">
        <v>770</v>
      </c>
      <c r="C74" s="6" t="s">
        <v>810</v>
      </c>
    </row>
    <row r="75" spans="1:3" ht="255">
      <c r="A75" s="168" t="s">
        <v>814</v>
      </c>
      <c r="B75" s="6" t="s">
        <v>771</v>
      </c>
      <c r="C75" s="6" t="s">
        <v>820</v>
      </c>
    </row>
    <row r="76" spans="1:3" ht="119">
      <c r="A76" s="168" t="s">
        <v>815</v>
      </c>
      <c r="B76" s="6" t="s">
        <v>771</v>
      </c>
      <c r="C76" s="6" t="s">
        <v>820</v>
      </c>
    </row>
    <row r="77" spans="1:3" ht="85">
      <c r="A77" s="168" t="s">
        <v>816</v>
      </c>
      <c r="B77" s="6" t="s">
        <v>771</v>
      </c>
      <c r="C77" s="6" t="s">
        <v>820</v>
      </c>
    </row>
    <row r="78" spans="1:3" ht="68">
      <c r="A78" s="168" t="s">
        <v>817</v>
      </c>
      <c r="B78" s="6" t="s">
        <v>771</v>
      </c>
      <c r="C78" s="6" t="s">
        <v>820</v>
      </c>
    </row>
    <row r="79" spans="1:3" ht="68">
      <c r="A79" s="168" t="s">
        <v>818</v>
      </c>
      <c r="B79" s="6" t="s">
        <v>771</v>
      </c>
      <c r="C79" s="6" t="s">
        <v>820</v>
      </c>
    </row>
    <row r="80" spans="1:3" ht="119">
      <c r="A80" s="168" t="s">
        <v>819</v>
      </c>
      <c r="B80" s="6" t="s">
        <v>771</v>
      </c>
      <c r="C80" s="6" t="s">
        <v>820</v>
      </c>
    </row>
    <row r="81" spans="1:3" ht="68">
      <c r="A81" s="168" t="s">
        <v>821</v>
      </c>
      <c r="B81" s="6" t="s">
        <v>773</v>
      </c>
      <c r="C81" s="6" t="s">
        <v>774</v>
      </c>
    </row>
    <row r="82" spans="1:3" ht="68">
      <c r="A82" s="168" t="s">
        <v>822</v>
      </c>
      <c r="B82" s="6" t="s">
        <v>773</v>
      </c>
      <c r="C82" s="6" t="s">
        <v>775</v>
      </c>
    </row>
    <row r="83" spans="1:3" ht="68">
      <c r="A83" s="168" t="s">
        <v>823</v>
      </c>
      <c r="B83" s="6" t="s">
        <v>772</v>
      </c>
      <c r="C83" s="6" t="s">
        <v>777</v>
      </c>
    </row>
    <row r="84" spans="1:3" ht="85">
      <c r="A84" s="168" t="s">
        <v>824</v>
      </c>
      <c r="B84" s="6" t="s">
        <v>776</v>
      </c>
      <c r="C84" s="6" t="s">
        <v>778</v>
      </c>
    </row>
    <row r="85" spans="1:3" ht="51">
      <c r="A85" s="168" t="s">
        <v>782</v>
      </c>
      <c r="B85" s="6" t="s">
        <v>779</v>
      </c>
      <c r="C85" s="6" t="s">
        <v>780</v>
      </c>
    </row>
    <row r="86" spans="1:3" ht="51">
      <c r="A86" s="168" t="s">
        <v>783</v>
      </c>
      <c r="B86" s="6" t="s">
        <v>781</v>
      </c>
      <c r="C86" s="6" t="s">
        <v>780</v>
      </c>
    </row>
    <row r="87" spans="1:3" ht="51">
      <c r="A87" s="168" t="s">
        <v>784</v>
      </c>
      <c r="B87" s="6" t="s">
        <v>781</v>
      </c>
      <c r="C87" s="6" t="s">
        <v>780</v>
      </c>
    </row>
    <row r="88" spans="1:3" ht="51">
      <c r="A88" s="168" t="s">
        <v>785</v>
      </c>
      <c r="B88" s="6" t="s">
        <v>781</v>
      </c>
      <c r="C88" s="6" t="s">
        <v>780</v>
      </c>
    </row>
    <row r="89" spans="1:3" ht="51">
      <c r="A89" s="168" t="s">
        <v>786</v>
      </c>
      <c r="B89" s="6" t="s">
        <v>790</v>
      </c>
      <c r="C89" s="6" t="s">
        <v>780</v>
      </c>
    </row>
    <row r="90" spans="1:3" ht="51">
      <c r="A90" s="168" t="s">
        <v>787</v>
      </c>
      <c r="B90" s="6" t="s">
        <v>789</v>
      </c>
      <c r="C90" s="6" t="s">
        <v>780</v>
      </c>
    </row>
    <row r="91" spans="1:3" ht="102">
      <c r="A91" s="168" t="s">
        <v>788</v>
      </c>
      <c r="B91" s="6" t="s">
        <v>792</v>
      </c>
      <c r="C91" s="6" t="s">
        <v>780</v>
      </c>
    </row>
    <row r="92" spans="1:3" ht="119">
      <c r="A92" s="168" t="s">
        <v>1319</v>
      </c>
      <c r="B92" s="6" t="s">
        <v>791</v>
      </c>
      <c r="C92" s="6" t="s">
        <v>780</v>
      </c>
    </row>
    <row r="93" spans="1:3" ht="51">
      <c r="A93" s="168" t="s">
        <v>794</v>
      </c>
      <c r="B93" s="6" t="s">
        <v>789</v>
      </c>
      <c r="C93" s="6" t="s">
        <v>793</v>
      </c>
    </row>
    <row r="94" spans="1:3" ht="51">
      <c r="A94" s="168" t="s">
        <v>795</v>
      </c>
      <c r="B94" s="6" t="s">
        <v>779</v>
      </c>
      <c r="C94" s="6" t="s">
        <v>793</v>
      </c>
    </row>
    <row r="95" spans="1:3" ht="187">
      <c r="A95" s="6" t="s">
        <v>1081</v>
      </c>
      <c r="C95" t="s">
        <v>1320</v>
      </c>
    </row>
    <row r="96" spans="1:3" ht="34">
      <c r="A96" s="6" t="s">
        <v>1082</v>
      </c>
      <c r="B96" s="6" t="s">
        <v>1083</v>
      </c>
      <c r="C96" t="s">
        <v>1320</v>
      </c>
    </row>
    <row r="97" spans="1:3" ht="85">
      <c r="A97" s="168" t="s">
        <v>1085</v>
      </c>
      <c r="B97" s="6" t="s">
        <v>1084</v>
      </c>
      <c r="C97" t="s">
        <v>1321</v>
      </c>
    </row>
    <row r="98" spans="1:3" ht="17">
      <c r="A98" t="s">
        <v>1093</v>
      </c>
      <c r="B98" s="6" t="s">
        <v>1094</v>
      </c>
      <c r="C98" t="s">
        <v>1321</v>
      </c>
    </row>
    <row r="99" spans="1:3" ht="17">
      <c r="A99" t="s">
        <v>1090</v>
      </c>
      <c r="B99" s="6" t="s">
        <v>1086</v>
      </c>
      <c r="C99" t="s">
        <v>1321</v>
      </c>
    </row>
    <row r="100" spans="1:3" ht="51">
      <c r="A100" s="6" t="s">
        <v>1092</v>
      </c>
      <c r="B100" s="6" t="s">
        <v>1091</v>
      </c>
      <c r="C100" t="s">
        <v>1321</v>
      </c>
    </row>
    <row r="101" spans="1:3" ht="17">
      <c r="A101" t="s">
        <v>1087</v>
      </c>
      <c r="B101" s="6" t="s">
        <v>1088</v>
      </c>
      <c r="C101" t="s">
        <v>1321</v>
      </c>
    </row>
    <row r="102" spans="1:3" ht="17">
      <c r="A102" t="s">
        <v>1322</v>
      </c>
      <c r="B102" s="6" t="s">
        <v>1323</v>
      </c>
      <c r="C102" t="s">
        <v>1321</v>
      </c>
    </row>
    <row r="103" spans="1:3" ht="136">
      <c r="A103" s="6" t="s">
        <v>1095</v>
      </c>
      <c r="B103" s="6" t="s">
        <v>1086</v>
      </c>
      <c r="C103" t="s">
        <v>1321</v>
      </c>
    </row>
    <row r="104" spans="1:3" ht="17">
      <c r="A104" t="s">
        <v>1096</v>
      </c>
      <c r="B104" s="6" t="s">
        <v>1094</v>
      </c>
      <c r="C104" t="s">
        <v>1321</v>
      </c>
    </row>
    <row r="105" spans="1:3" ht="17">
      <c r="A105" s="168" t="s">
        <v>1097</v>
      </c>
      <c r="B105" s="6" t="s">
        <v>1094</v>
      </c>
      <c r="C105" t="s">
        <v>1321</v>
      </c>
    </row>
    <row r="106" spans="1:3" ht="51">
      <c r="A106" s="168" t="s">
        <v>1098</v>
      </c>
      <c r="B106" s="6" t="s">
        <v>1094</v>
      </c>
      <c r="C106" t="s">
        <v>1324</v>
      </c>
    </row>
    <row r="107" spans="1:3" ht="85">
      <c r="A107" s="168" t="s">
        <v>1099</v>
      </c>
      <c r="B107" s="6" t="s">
        <v>1094</v>
      </c>
      <c r="C107" t="s">
        <v>1324</v>
      </c>
    </row>
    <row r="108" spans="1:3" ht="119">
      <c r="A108" s="168" t="s">
        <v>1100</v>
      </c>
      <c r="B108" s="6" t="s">
        <v>1094</v>
      </c>
      <c r="C108" t="s">
        <v>1324</v>
      </c>
    </row>
    <row r="109" spans="1:3" ht="51">
      <c r="A109" s="168" t="s">
        <v>1103</v>
      </c>
      <c r="B109" s="6" t="s">
        <v>1094</v>
      </c>
      <c r="C109" t="s">
        <v>1325</v>
      </c>
    </row>
    <row r="110" spans="1:3" ht="102">
      <c r="A110" s="168" t="s">
        <v>1101</v>
      </c>
      <c r="B110" s="6" t="s">
        <v>1094</v>
      </c>
      <c r="C110" t="s">
        <v>1325</v>
      </c>
    </row>
    <row r="111" spans="1:3" ht="102">
      <c r="A111" s="168" t="s">
        <v>1102</v>
      </c>
      <c r="B111" s="6" t="s">
        <v>1094</v>
      </c>
      <c r="C111" t="s">
        <v>1325</v>
      </c>
    </row>
    <row r="112" spans="1:3" ht="17">
      <c r="A112" s="168" t="s">
        <v>1104</v>
      </c>
      <c r="B112" s="6" t="s">
        <v>1105</v>
      </c>
      <c r="C112" t="s">
        <v>1321</v>
      </c>
    </row>
    <row r="113" spans="1:3" ht="17">
      <c r="A113" s="168" t="s">
        <v>1106</v>
      </c>
      <c r="B113" s="6" t="s">
        <v>1107</v>
      </c>
      <c r="C113" t="s">
        <v>1321</v>
      </c>
    </row>
    <row r="114" spans="1:3">
      <c r="A114" t="s">
        <v>1089</v>
      </c>
      <c r="C114" t="s">
        <v>1321</v>
      </c>
    </row>
    <row r="115" spans="1:3" ht="187">
      <c r="A115" s="6" t="s">
        <v>1108</v>
      </c>
      <c r="C115" t="s">
        <v>1326</v>
      </c>
    </row>
    <row r="116" spans="1:3" ht="34">
      <c r="A116" s="6" t="s">
        <v>1109</v>
      </c>
      <c r="B116" s="6" t="s">
        <v>1110</v>
      </c>
      <c r="C116" t="s">
        <v>1327</v>
      </c>
    </row>
    <row r="117" spans="1:3" ht="17">
      <c r="A117" s="168" t="s">
        <v>1112</v>
      </c>
      <c r="B117" s="6" t="s">
        <v>1111</v>
      </c>
      <c r="C117" t="s">
        <v>1327</v>
      </c>
    </row>
    <row r="118" spans="1:3" ht="34">
      <c r="A118" s="6" t="s">
        <v>1113</v>
      </c>
      <c r="B118" s="6" t="s">
        <v>1114</v>
      </c>
      <c r="C118" t="s">
        <v>1327</v>
      </c>
    </row>
    <row r="119" spans="1:3" ht="17">
      <c r="A119" s="6" t="s">
        <v>1115</v>
      </c>
      <c r="C119" t="s">
        <v>1327</v>
      </c>
    </row>
    <row r="120" spans="1:3" ht="34">
      <c r="A120" s="6" t="s">
        <v>1116</v>
      </c>
      <c r="C120" t="s">
        <v>1327</v>
      </c>
    </row>
    <row r="121" spans="1:3" ht="85">
      <c r="A121" s="6" t="s">
        <v>1117</v>
      </c>
      <c r="B121" s="6" t="s">
        <v>1118</v>
      </c>
      <c r="C121" t="s">
        <v>1328</v>
      </c>
    </row>
    <row r="122" spans="1:3" ht="221">
      <c r="A122" s="6" t="s">
        <v>1119</v>
      </c>
      <c r="C122"/>
    </row>
    <row r="123" spans="1:3">
      <c r="A123" s="366" t="s">
        <v>1120</v>
      </c>
      <c r="B123" s="366"/>
      <c r="C123" s="366"/>
    </row>
    <row r="124" spans="1:3" ht="34">
      <c r="A124" s="6" t="s">
        <v>1121</v>
      </c>
      <c r="B124" s="6" t="s">
        <v>1122</v>
      </c>
      <c r="C124" t="s">
        <v>1329</v>
      </c>
    </row>
    <row r="125" spans="1:3" ht="34">
      <c r="A125" s="6" t="s">
        <v>1123</v>
      </c>
      <c r="B125" s="6" t="s">
        <v>1122</v>
      </c>
      <c r="C125" t="s">
        <v>1329</v>
      </c>
    </row>
    <row r="126" spans="1:3" ht="34">
      <c r="A126" s="6" t="s">
        <v>1124</v>
      </c>
      <c r="C126" t="s">
        <v>1329</v>
      </c>
    </row>
    <row r="127" spans="1:3" ht="34">
      <c r="A127" s="6" t="s">
        <v>1125</v>
      </c>
      <c r="C127" t="s">
        <v>1329</v>
      </c>
    </row>
    <row r="128" spans="1:3" ht="17">
      <c r="A128" s="6" t="s">
        <v>1126</v>
      </c>
      <c r="B128" s="6" t="s">
        <v>1122</v>
      </c>
      <c r="C128" t="s">
        <v>1329</v>
      </c>
    </row>
    <row r="129" spans="1:3" ht="34">
      <c r="A129" s="6" t="s">
        <v>1127</v>
      </c>
      <c r="B129" s="6" t="s">
        <v>1128</v>
      </c>
      <c r="C129" t="s">
        <v>1329</v>
      </c>
    </row>
    <row r="130" spans="1:3" ht="85">
      <c r="A130" s="6" t="s">
        <v>1136</v>
      </c>
      <c r="B130" s="6" t="s">
        <v>1137</v>
      </c>
      <c r="C130" t="s">
        <v>1329</v>
      </c>
    </row>
    <row r="131" spans="1:3">
      <c r="A131" s="366" t="s">
        <v>1151</v>
      </c>
      <c r="B131" s="366"/>
      <c r="C131" t="s">
        <v>1329</v>
      </c>
    </row>
    <row r="132" spans="1:3" ht="17">
      <c r="A132" s="6" t="s">
        <v>1129</v>
      </c>
      <c r="B132" s="6" t="s">
        <v>1130</v>
      </c>
      <c r="C132" t="s">
        <v>1329</v>
      </c>
    </row>
    <row r="133" spans="1:3" ht="17">
      <c r="A133" s="6" t="s">
        <v>1131</v>
      </c>
      <c r="B133" s="6" t="s">
        <v>1130</v>
      </c>
      <c r="C133" t="s">
        <v>1329</v>
      </c>
    </row>
    <row r="134" spans="1:3" ht="68">
      <c r="A134" s="6" t="s">
        <v>1132</v>
      </c>
      <c r="B134" s="6" t="s">
        <v>1130</v>
      </c>
      <c r="C134" t="s">
        <v>1329</v>
      </c>
    </row>
    <row r="135" spans="1:3" ht="34">
      <c r="A135" s="6" t="s">
        <v>1138</v>
      </c>
      <c r="B135" s="6" t="s">
        <v>1130</v>
      </c>
      <c r="C135" t="s">
        <v>1329</v>
      </c>
    </row>
    <row r="136" spans="1:3" ht="17">
      <c r="A136" s="6" t="s">
        <v>1133</v>
      </c>
      <c r="B136" s="6" t="s">
        <v>1130</v>
      </c>
      <c r="C136" t="s">
        <v>1329</v>
      </c>
    </row>
    <row r="137" spans="1:3" ht="34">
      <c r="A137" s="6" t="s">
        <v>1134</v>
      </c>
      <c r="B137" s="6" t="s">
        <v>1130</v>
      </c>
      <c r="C137" t="s">
        <v>1329</v>
      </c>
    </row>
    <row r="138" spans="1:3" ht="17">
      <c r="A138" s="6" t="s">
        <v>1135</v>
      </c>
      <c r="B138" s="6" t="s">
        <v>1130</v>
      </c>
      <c r="C138" t="s">
        <v>1329</v>
      </c>
    </row>
    <row r="139" spans="1:3">
      <c r="A139" s="366" t="s">
        <v>1139</v>
      </c>
      <c r="B139" s="366"/>
      <c r="C139" s="366"/>
    </row>
    <row r="140" spans="1:3" ht="34">
      <c r="A140" s="6" t="s">
        <v>1140</v>
      </c>
      <c r="C140" t="s">
        <v>1330</v>
      </c>
    </row>
    <row r="141" spans="1:3" ht="34">
      <c r="A141" s="6" t="s">
        <v>1142</v>
      </c>
      <c r="B141" s="6" t="s">
        <v>1141</v>
      </c>
      <c r="C141" t="s">
        <v>1330</v>
      </c>
    </row>
    <row r="142" spans="1:3" ht="34">
      <c r="A142" s="6" t="s">
        <v>1143</v>
      </c>
      <c r="B142" s="6" t="s">
        <v>1122</v>
      </c>
      <c r="C142" t="s">
        <v>1330</v>
      </c>
    </row>
    <row r="143" spans="1:3" ht="34">
      <c r="A143" s="6" t="s">
        <v>1144</v>
      </c>
      <c r="B143" s="6" t="s">
        <v>1145</v>
      </c>
      <c r="C143" t="s">
        <v>1330</v>
      </c>
    </row>
    <row r="144" spans="1:3" ht="34">
      <c r="A144" s="6" t="s">
        <v>1146</v>
      </c>
      <c r="B144" s="6" t="s">
        <v>1122</v>
      </c>
      <c r="C144" t="s">
        <v>1330</v>
      </c>
    </row>
    <row r="145" spans="1:4" ht="34">
      <c r="A145" s="6" t="s">
        <v>1147</v>
      </c>
      <c r="B145" s="6" t="s">
        <v>1150</v>
      </c>
      <c r="C145" t="s">
        <v>1330</v>
      </c>
    </row>
    <row r="146" spans="1:4" ht="85">
      <c r="A146" s="6" t="s">
        <v>1148</v>
      </c>
      <c r="B146" s="6" t="s">
        <v>1137</v>
      </c>
      <c r="C146" t="s">
        <v>1330</v>
      </c>
    </row>
    <row r="147" spans="1:4" ht="51">
      <c r="A147" s="6" t="s">
        <v>1149</v>
      </c>
      <c r="B147" s="6" t="s">
        <v>1150</v>
      </c>
      <c r="C147" t="s">
        <v>1330</v>
      </c>
    </row>
    <row r="148" spans="1:4" ht="85">
      <c r="A148" s="135" t="s">
        <v>829</v>
      </c>
      <c r="B148" t="s">
        <v>827</v>
      </c>
      <c r="C148" s="6" t="s">
        <v>826</v>
      </c>
      <c r="D148" t="s">
        <v>828</v>
      </c>
    </row>
    <row r="149" spans="1:4" ht="136">
      <c r="A149" s="135" t="s">
        <v>830</v>
      </c>
      <c r="B149" t="s">
        <v>827</v>
      </c>
      <c r="C149" s="6" t="s">
        <v>834</v>
      </c>
    </row>
    <row r="150" spans="1:4" ht="85">
      <c r="A150" s="135" t="s">
        <v>836</v>
      </c>
      <c r="B150" s="6" t="s">
        <v>831</v>
      </c>
      <c r="C150" s="6" t="s">
        <v>835</v>
      </c>
      <c r="D150" t="s">
        <v>837</v>
      </c>
    </row>
    <row r="151" spans="1:4" ht="51">
      <c r="A151" s="6" t="s">
        <v>832</v>
      </c>
      <c r="B151" s="6" t="s">
        <v>833</v>
      </c>
      <c r="C151" s="6" t="s">
        <v>835</v>
      </c>
    </row>
    <row r="152" spans="1:4" ht="102">
      <c r="A152" s="135" t="s">
        <v>1331</v>
      </c>
      <c r="B152" s="6" t="s">
        <v>827</v>
      </c>
      <c r="C152" s="6" t="s">
        <v>839</v>
      </c>
    </row>
    <row r="153" spans="1:4" ht="66" customHeight="1">
      <c r="A153" s="135" t="s">
        <v>844</v>
      </c>
      <c r="B153" s="6" t="s">
        <v>827</v>
      </c>
      <c r="C153" s="6" t="s">
        <v>839</v>
      </c>
      <c r="D153" t="s">
        <v>838</v>
      </c>
    </row>
    <row r="154" spans="1:4" ht="51">
      <c r="A154" s="135" t="s">
        <v>843</v>
      </c>
      <c r="B154" s="6" t="s">
        <v>827</v>
      </c>
      <c r="C154" s="6" t="s">
        <v>839</v>
      </c>
    </row>
    <row r="155" spans="1:4" ht="119">
      <c r="A155" s="184" t="s">
        <v>1169</v>
      </c>
      <c r="B155" s="6" t="s">
        <v>840</v>
      </c>
      <c r="C155" s="6" t="s">
        <v>839</v>
      </c>
    </row>
    <row r="156" spans="1:4" ht="102">
      <c r="A156" s="135" t="s">
        <v>842</v>
      </c>
      <c r="B156" t="s">
        <v>840</v>
      </c>
      <c r="C156" s="6" t="s">
        <v>841</v>
      </c>
    </row>
    <row r="157" spans="1:4" ht="102">
      <c r="A157" s="135" t="s">
        <v>842</v>
      </c>
      <c r="B157" s="6" t="s">
        <v>827</v>
      </c>
      <c r="C157" s="6" t="s">
        <v>841</v>
      </c>
    </row>
    <row r="158" spans="1:4" ht="119">
      <c r="A158" s="135" t="s">
        <v>845</v>
      </c>
      <c r="B158" s="6" t="s">
        <v>827</v>
      </c>
      <c r="C158" s="6" t="s">
        <v>841</v>
      </c>
    </row>
    <row r="159" spans="1:4" ht="85">
      <c r="A159" s="135" t="s">
        <v>857</v>
      </c>
      <c r="B159" t="s">
        <v>846</v>
      </c>
      <c r="C159" s="6" t="s">
        <v>841</v>
      </c>
    </row>
    <row r="160" spans="1:4" ht="85">
      <c r="A160" s="135" t="s">
        <v>848</v>
      </c>
      <c r="B160" t="s">
        <v>849</v>
      </c>
      <c r="C160" s="6" t="s">
        <v>847</v>
      </c>
    </row>
    <row r="161" spans="1:4" ht="34">
      <c r="A161" s="135" t="s">
        <v>850</v>
      </c>
      <c r="B161" t="s">
        <v>851</v>
      </c>
      <c r="C161" s="6" t="s">
        <v>847</v>
      </c>
    </row>
    <row r="162" spans="1:4" ht="68">
      <c r="A162" s="135" t="s">
        <v>852</v>
      </c>
      <c r="B162" t="s">
        <v>849</v>
      </c>
      <c r="C162" s="6" t="s">
        <v>847</v>
      </c>
    </row>
    <row r="163" spans="1:4" ht="85">
      <c r="A163" s="135" t="s">
        <v>853</v>
      </c>
      <c r="B163" t="s">
        <v>851</v>
      </c>
      <c r="C163" s="6" t="s">
        <v>847</v>
      </c>
    </row>
    <row r="164" spans="1:4" ht="51">
      <c r="A164" s="135" t="s">
        <v>855</v>
      </c>
      <c r="B164" t="s">
        <v>851</v>
      </c>
      <c r="C164" s="6" t="s">
        <v>847</v>
      </c>
    </row>
    <row r="165" spans="1:4" ht="34">
      <c r="A165" s="135" t="s">
        <v>856</v>
      </c>
      <c r="B165" t="s">
        <v>854</v>
      </c>
      <c r="C165" s="6" t="s">
        <v>847</v>
      </c>
    </row>
    <row r="166" spans="1:4" ht="136">
      <c r="A166" s="135" t="s">
        <v>1332</v>
      </c>
      <c r="B166" s="6" t="s">
        <v>1333</v>
      </c>
      <c r="C166" s="6" t="s">
        <v>858</v>
      </c>
    </row>
    <row r="167" spans="1:4" ht="51">
      <c r="A167" s="135" t="s">
        <v>860</v>
      </c>
      <c r="B167" t="s">
        <v>859</v>
      </c>
      <c r="C167" s="6" t="s">
        <v>858</v>
      </c>
    </row>
    <row r="168" spans="1:4" ht="85">
      <c r="A168" s="135" t="s">
        <v>865</v>
      </c>
      <c r="B168" t="s">
        <v>859</v>
      </c>
      <c r="C168" s="6" t="s">
        <v>858</v>
      </c>
    </row>
    <row r="169" spans="1:4" ht="34">
      <c r="A169" s="135" t="s">
        <v>861</v>
      </c>
      <c r="B169" t="s">
        <v>862</v>
      </c>
      <c r="C169" s="6" t="s">
        <v>863</v>
      </c>
    </row>
    <row r="170" spans="1:4" ht="170">
      <c r="A170" s="135" t="s">
        <v>1334</v>
      </c>
      <c r="B170" t="s">
        <v>864</v>
      </c>
      <c r="C170" s="6" t="s">
        <v>863</v>
      </c>
    </row>
    <row r="171" spans="1:4" ht="34">
      <c r="A171" s="135" t="s">
        <v>866</v>
      </c>
      <c r="B171" t="s">
        <v>862</v>
      </c>
      <c r="C171" s="6" t="s">
        <v>863</v>
      </c>
    </row>
    <row r="172" spans="1:4" ht="34">
      <c r="A172" s="135" t="s">
        <v>867</v>
      </c>
      <c r="B172" t="s">
        <v>868</v>
      </c>
      <c r="C172" s="6" t="s">
        <v>863</v>
      </c>
    </row>
    <row r="173" spans="1:4" ht="51">
      <c r="A173" s="135" t="s">
        <v>870</v>
      </c>
      <c r="B173" t="s">
        <v>869</v>
      </c>
      <c r="C173" s="6" t="s">
        <v>863</v>
      </c>
    </row>
    <row r="174" spans="1:4" ht="51">
      <c r="A174" s="135" t="s">
        <v>871</v>
      </c>
      <c r="B174" t="s">
        <v>873</v>
      </c>
      <c r="C174" s="6" t="s">
        <v>863</v>
      </c>
    </row>
    <row r="175" spans="1:4" ht="85">
      <c r="A175" s="135" t="s">
        <v>874</v>
      </c>
      <c r="B175" t="s">
        <v>873</v>
      </c>
      <c r="C175" s="6" t="s">
        <v>863</v>
      </c>
      <c r="D175" t="s">
        <v>875</v>
      </c>
    </row>
    <row r="176" spans="1:4" ht="51">
      <c r="A176" s="135" t="s">
        <v>1335</v>
      </c>
      <c r="B176" t="s">
        <v>876</v>
      </c>
      <c r="C176" s="6" t="s">
        <v>879</v>
      </c>
    </row>
    <row r="177" spans="1:3" ht="68">
      <c r="A177" s="6" t="s">
        <v>877</v>
      </c>
      <c r="B177" t="s">
        <v>878</v>
      </c>
      <c r="C177" s="6" t="s">
        <v>879</v>
      </c>
    </row>
    <row r="178" spans="1:3" ht="51">
      <c r="A178" s="6" t="s">
        <v>880</v>
      </c>
      <c r="B178" t="s">
        <v>878</v>
      </c>
      <c r="C178" s="6" t="s">
        <v>879</v>
      </c>
    </row>
    <row r="179" spans="1:3" ht="51">
      <c r="A179" s="6" t="s">
        <v>1336</v>
      </c>
      <c r="B179" t="s">
        <v>881</v>
      </c>
      <c r="C179" s="6" t="s">
        <v>879</v>
      </c>
    </row>
    <row r="180" spans="1:3" ht="51">
      <c r="A180" s="6" t="s">
        <v>882</v>
      </c>
      <c r="B180" t="s">
        <v>881</v>
      </c>
      <c r="C180" s="6" t="s">
        <v>879</v>
      </c>
    </row>
    <row r="181" spans="1:3" ht="51">
      <c r="A181" s="6" t="s">
        <v>883</v>
      </c>
      <c r="B181" t="s">
        <v>878</v>
      </c>
      <c r="C181" s="6" t="s">
        <v>879</v>
      </c>
    </row>
    <row r="182" spans="1:3" ht="68">
      <c r="A182" s="6" t="s">
        <v>1337</v>
      </c>
      <c r="B182" t="s">
        <v>878</v>
      </c>
      <c r="C182" s="6" t="s">
        <v>879</v>
      </c>
    </row>
    <row r="183" spans="1:3" ht="102">
      <c r="A183" s="6" t="s">
        <v>884</v>
      </c>
      <c r="B183" t="s">
        <v>885</v>
      </c>
      <c r="C183" s="6" t="s">
        <v>879</v>
      </c>
    </row>
    <row r="184" spans="1:3" ht="51">
      <c r="A184" s="6" t="s">
        <v>886</v>
      </c>
      <c r="B184" t="s">
        <v>881</v>
      </c>
      <c r="C184" s="6" t="s">
        <v>879</v>
      </c>
    </row>
    <row r="185" spans="1:3" ht="51">
      <c r="A185" s="6" t="s">
        <v>1338</v>
      </c>
      <c r="B185" t="s">
        <v>878</v>
      </c>
      <c r="C185" s="6" t="s">
        <v>879</v>
      </c>
    </row>
    <row r="186" spans="1:3" ht="68">
      <c r="A186" s="6" t="s">
        <v>887</v>
      </c>
      <c r="B186" t="s">
        <v>878</v>
      </c>
      <c r="C186" s="6" t="s">
        <v>879</v>
      </c>
    </row>
    <row r="187" spans="1:3">
      <c r="A187" s="369" t="s">
        <v>957</v>
      </c>
      <c r="B187" s="369"/>
      <c r="C187" s="369"/>
    </row>
    <row r="188" spans="1:3" ht="221">
      <c r="A188" s="168" t="s">
        <v>956</v>
      </c>
      <c r="B188" s="6" t="s">
        <v>825</v>
      </c>
      <c r="C188" s="6" t="s">
        <v>910</v>
      </c>
    </row>
    <row r="189" spans="1:3" ht="204">
      <c r="A189" s="168" t="s">
        <v>902</v>
      </c>
      <c r="B189" s="6" t="s">
        <v>911</v>
      </c>
      <c r="C189" s="6" t="s">
        <v>912</v>
      </c>
    </row>
    <row r="190" spans="1:3" ht="51">
      <c r="A190" s="168" t="s">
        <v>903</v>
      </c>
      <c r="B190" s="6" t="s">
        <v>911</v>
      </c>
      <c r="C190" s="6" t="s">
        <v>912</v>
      </c>
    </row>
    <row r="191" spans="1:3" ht="51">
      <c r="A191" s="168" t="s">
        <v>904</v>
      </c>
      <c r="C191" s="6" t="s">
        <v>912</v>
      </c>
    </row>
    <row r="192" spans="1:3" ht="51">
      <c r="A192" s="168" t="s">
        <v>905</v>
      </c>
      <c r="C192" s="6" t="s">
        <v>912</v>
      </c>
    </row>
    <row r="193" spans="1:4" ht="68">
      <c r="A193" s="6" t="s">
        <v>906</v>
      </c>
      <c r="C193" s="6" t="s">
        <v>912</v>
      </c>
    </row>
    <row r="194" spans="1:4" ht="51">
      <c r="A194" s="6" t="s">
        <v>907</v>
      </c>
      <c r="C194" s="6" t="s">
        <v>912</v>
      </c>
    </row>
    <row r="195" spans="1:4" ht="51">
      <c r="A195" s="6" t="s">
        <v>908</v>
      </c>
      <c r="C195" s="6" t="s">
        <v>912</v>
      </c>
    </row>
    <row r="196" spans="1:4" ht="34">
      <c r="A196" s="6" t="s">
        <v>909</v>
      </c>
      <c r="C196" s="6" t="s">
        <v>912</v>
      </c>
    </row>
    <row r="197" spans="1:4" ht="51">
      <c r="A197" s="168" t="s">
        <v>888</v>
      </c>
      <c r="B197" s="6" t="s">
        <v>872</v>
      </c>
      <c r="C197" s="6" t="s">
        <v>913</v>
      </c>
      <c r="D197" s="6" t="s">
        <v>890</v>
      </c>
    </row>
    <row r="198" spans="1:4" ht="34">
      <c r="A198" s="168" t="s">
        <v>891</v>
      </c>
      <c r="B198" s="6" t="s">
        <v>872</v>
      </c>
      <c r="C198" s="6" t="s">
        <v>914</v>
      </c>
      <c r="D198" s="6" t="s">
        <v>900</v>
      </c>
    </row>
    <row r="199" spans="1:4" ht="68">
      <c r="A199" s="6" t="s">
        <v>901</v>
      </c>
      <c r="B199" s="6" t="s">
        <v>859</v>
      </c>
      <c r="C199" s="6" t="s">
        <v>914</v>
      </c>
    </row>
    <row r="200" spans="1:4" ht="111" customHeight="1">
      <c r="A200" s="168" t="s">
        <v>917</v>
      </c>
      <c r="B200" s="6" t="s">
        <v>911</v>
      </c>
      <c r="C200" s="6" t="s">
        <v>915</v>
      </c>
    </row>
    <row r="201" spans="1:4" ht="19.5" customHeight="1">
      <c r="A201" s="367" t="s">
        <v>916</v>
      </c>
      <c r="B201" s="367"/>
      <c r="C201" s="367"/>
    </row>
    <row r="202" spans="1:4" ht="34">
      <c r="A202" s="168" t="s">
        <v>949</v>
      </c>
      <c r="B202" s="6" t="s">
        <v>911</v>
      </c>
      <c r="C202" s="6" t="s">
        <v>939</v>
      </c>
    </row>
    <row r="203" spans="1:4" ht="34">
      <c r="A203" s="168" t="s">
        <v>950</v>
      </c>
      <c r="B203" s="6" t="s">
        <v>911</v>
      </c>
      <c r="C203" s="6" t="s">
        <v>939</v>
      </c>
    </row>
    <row r="204" spans="1:4" ht="221">
      <c r="A204" s="168" t="s">
        <v>951</v>
      </c>
      <c r="B204" s="6" t="s">
        <v>911</v>
      </c>
      <c r="C204" s="6" t="s">
        <v>939</v>
      </c>
    </row>
    <row r="205" spans="1:4" ht="68">
      <c r="A205" s="6" t="s">
        <v>952</v>
      </c>
      <c r="B205" s="6" t="s">
        <v>911</v>
      </c>
      <c r="C205" s="6" t="s">
        <v>939</v>
      </c>
    </row>
    <row r="206" spans="1:4" ht="17">
      <c r="A206" s="6" t="s">
        <v>959</v>
      </c>
    </row>
    <row r="207" spans="1:4" ht="51">
      <c r="A207" s="6" t="s">
        <v>953</v>
      </c>
      <c r="B207" s="6" t="s">
        <v>911</v>
      </c>
      <c r="C207" s="6" t="s">
        <v>938</v>
      </c>
    </row>
    <row r="208" spans="1:4" ht="34">
      <c r="A208" s="6" t="s">
        <v>954</v>
      </c>
      <c r="B208" s="6" t="s">
        <v>911</v>
      </c>
      <c r="C208" s="6" t="s">
        <v>938</v>
      </c>
    </row>
    <row r="209" spans="1:4" ht="153">
      <c r="A209" s="6" t="s">
        <v>1339</v>
      </c>
      <c r="B209" s="6" t="s">
        <v>911</v>
      </c>
      <c r="C209" s="6" t="s">
        <v>938</v>
      </c>
      <c r="D209" t="s">
        <v>925</v>
      </c>
    </row>
    <row r="210" spans="1:4" ht="85">
      <c r="A210" s="6" t="s">
        <v>942</v>
      </c>
      <c r="B210" s="6" t="s">
        <v>911</v>
      </c>
      <c r="C210" s="6" t="s">
        <v>938</v>
      </c>
    </row>
    <row r="211" spans="1:4" ht="68">
      <c r="A211" s="6" t="s">
        <v>943</v>
      </c>
      <c r="B211" s="6" t="s">
        <v>911</v>
      </c>
      <c r="C211" s="6" t="s">
        <v>938</v>
      </c>
    </row>
    <row r="212" spans="1:4" ht="51">
      <c r="A212" s="6" t="s">
        <v>944</v>
      </c>
      <c r="B212" s="6" t="s">
        <v>911</v>
      </c>
      <c r="C212" s="6" t="s">
        <v>938</v>
      </c>
    </row>
    <row r="213" spans="1:4" ht="34">
      <c r="A213" s="6" t="s">
        <v>945</v>
      </c>
      <c r="B213" s="6" t="s">
        <v>911</v>
      </c>
      <c r="C213" s="6" t="s">
        <v>938</v>
      </c>
    </row>
    <row r="214" spans="1:4" ht="85">
      <c r="A214" s="6" t="s">
        <v>918</v>
      </c>
      <c r="B214" s="6" t="s">
        <v>911</v>
      </c>
      <c r="C214" s="6" t="s">
        <v>938</v>
      </c>
    </row>
    <row r="215" spans="1:4" ht="34">
      <c r="A215" s="168" t="s">
        <v>919</v>
      </c>
      <c r="B215" s="6" t="s">
        <v>911</v>
      </c>
      <c r="C215" s="6" t="s">
        <v>938</v>
      </c>
    </row>
    <row r="216" spans="1:4" ht="153">
      <c r="A216" s="168" t="s">
        <v>920</v>
      </c>
      <c r="B216" s="6" t="s">
        <v>911</v>
      </c>
      <c r="C216" s="6" t="s">
        <v>941</v>
      </c>
    </row>
    <row r="217" spans="1:4" ht="34">
      <c r="A217" s="6" t="s">
        <v>921</v>
      </c>
      <c r="B217" s="6" t="s">
        <v>911</v>
      </c>
      <c r="C217" s="6" t="s">
        <v>940</v>
      </c>
    </row>
    <row r="218" spans="1:4" ht="34">
      <c r="A218" s="168" t="s">
        <v>922</v>
      </c>
      <c r="B218" s="6" t="s">
        <v>911</v>
      </c>
      <c r="C218" s="6" t="s">
        <v>940</v>
      </c>
    </row>
    <row r="219" spans="1:4" ht="34">
      <c r="A219" s="6" t="s">
        <v>923</v>
      </c>
      <c r="B219" s="6" t="s">
        <v>911</v>
      </c>
      <c r="C219" s="6" t="s">
        <v>940</v>
      </c>
    </row>
    <row r="220" spans="1:4" ht="34">
      <c r="A220" s="6" t="s">
        <v>924</v>
      </c>
      <c r="B220" s="6" t="s">
        <v>911</v>
      </c>
      <c r="C220" s="6" t="s">
        <v>940</v>
      </c>
    </row>
    <row r="221" spans="1:4">
      <c r="A221" s="368" t="s">
        <v>926</v>
      </c>
      <c r="B221" s="368"/>
      <c r="C221" s="368"/>
    </row>
    <row r="222" spans="1:4" ht="34">
      <c r="A222" s="184" t="s">
        <v>927</v>
      </c>
      <c r="B222" s="6" t="s">
        <v>911</v>
      </c>
      <c r="C222" s="6" t="s">
        <v>936</v>
      </c>
    </row>
    <row r="223" spans="1:4" ht="34">
      <c r="A223" s="168" t="s">
        <v>928</v>
      </c>
      <c r="B223" s="6" t="s">
        <v>911</v>
      </c>
      <c r="C223" s="6" t="s">
        <v>936</v>
      </c>
    </row>
    <row r="224" spans="1:4" ht="272">
      <c r="A224" s="168" t="s">
        <v>929</v>
      </c>
      <c r="B224" s="6" t="s">
        <v>911</v>
      </c>
      <c r="C224" s="6" t="s">
        <v>936</v>
      </c>
    </row>
    <row r="225" spans="1:3" ht="68">
      <c r="A225" s="168" t="s">
        <v>930</v>
      </c>
      <c r="B225" s="6" t="s">
        <v>911</v>
      </c>
      <c r="C225" s="6" t="s">
        <v>936</v>
      </c>
    </row>
    <row r="226" spans="1:3" ht="34">
      <c r="A226" s="168" t="s">
        <v>955</v>
      </c>
      <c r="B226" s="6" t="s">
        <v>911</v>
      </c>
      <c r="C226" s="6" t="s">
        <v>936</v>
      </c>
    </row>
    <row r="227" spans="1:3" ht="17">
      <c r="A227" s="168" t="s">
        <v>959</v>
      </c>
    </row>
    <row r="228" spans="1:3" ht="51">
      <c r="A228" s="168" t="s">
        <v>931</v>
      </c>
      <c r="B228" s="6" t="s">
        <v>911</v>
      </c>
      <c r="C228" s="6" t="s">
        <v>936</v>
      </c>
    </row>
    <row r="229" spans="1:3" ht="170">
      <c r="A229" s="168" t="s">
        <v>932</v>
      </c>
      <c r="B229" s="6" t="s">
        <v>933</v>
      </c>
      <c r="C229" s="6" t="s">
        <v>937</v>
      </c>
    </row>
    <row r="230" spans="1:3" ht="34">
      <c r="A230" s="6" t="s">
        <v>934</v>
      </c>
      <c r="B230" s="6" t="s">
        <v>933</v>
      </c>
      <c r="C230" s="6" t="s">
        <v>937</v>
      </c>
    </row>
    <row r="231" spans="1:3" ht="68">
      <c r="A231" s="168" t="s">
        <v>935</v>
      </c>
      <c r="B231" s="6" t="s">
        <v>933</v>
      </c>
      <c r="C231" s="6" t="s">
        <v>937</v>
      </c>
    </row>
    <row r="232" spans="1:3">
      <c r="A232" s="367" t="s">
        <v>958</v>
      </c>
      <c r="B232" s="367"/>
      <c r="C232" s="367"/>
    </row>
    <row r="233" spans="1:3" ht="34">
      <c r="A233" s="168" t="s">
        <v>946</v>
      </c>
      <c r="B233" s="6" t="s">
        <v>911</v>
      </c>
      <c r="C233" s="6" t="s">
        <v>936</v>
      </c>
    </row>
    <row r="234" spans="1:3" ht="136">
      <c r="A234" s="168" t="s">
        <v>948</v>
      </c>
      <c r="B234" s="6" t="s">
        <v>911</v>
      </c>
      <c r="C234" s="6" t="s">
        <v>936</v>
      </c>
    </row>
    <row r="235" spans="1:3" ht="187">
      <c r="A235" s="168" t="s">
        <v>947</v>
      </c>
      <c r="B235" s="6" t="s">
        <v>911</v>
      </c>
      <c r="C235" s="6" t="s">
        <v>936</v>
      </c>
    </row>
    <row r="236" spans="1:3" ht="34">
      <c r="A236" s="365" t="s">
        <v>960</v>
      </c>
      <c r="B236" s="365"/>
      <c r="C236" s="6" t="s">
        <v>961</v>
      </c>
    </row>
    <row r="237" spans="1:3" ht="170">
      <c r="A237" s="6" t="s">
        <v>962</v>
      </c>
      <c r="B237" s="6" t="s">
        <v>911</v>
      </c>
      <c r="C237" s="6" t="s">
        <v>964</v>
      </c>
    </row>
    <row r="238" spans="1:3" ht="153">
      <c r="A238" s="168" t="s">
        <v>963</v>
      </c>
      <c r="B238" s="6" t="s">
        <v>911</v>
      </c>
      <c r="C238" s="6" t="s">
        <v>964</v>
      </c>
    </row>
    <row r="239" spans="1:3" ht="51">
      <c r="A239" s="168" t="s">
        <v>966</v>
      </c>
      <c r="B239" s="6" t="s">
        <v>911</v>
      </c>
      <c r="C239" s="6" t="s">
        <v>965</v>
      </c>
    </row>
    <row r="240" spans="1:3" ht="51">
      <c r="A240" s="168" t="s">
        <v>967</v>
      </c>
      <c r="B240" s="6" t="s">
        <v>911</v>
      </c>
      <c r="C240" s="6" t="s">
        <v>965</v>
      </c>
    </row>
    <row r="241" spans="1:3" ht="51">
      <c r="A241" s="168" t="s">
        <v>968</v>
      </c>
      <c r="B241" s="6" t="s">
        <v>911</v>
      </c>
      <c r="C241" s="6" t="s">
        <v>965</v>
      </c>
    </row>
    <row r="242" spans="1:3" ht="51">
      <c r="A242" s="168" t="s">
        <v>1340</v>
      </c>
      <c r="B242" s="6" t="s">
        <v>911</v>
      </c>
      <c r="C242" s="6" t="s">
        <v>965</v>
      </c>
    </row>
    <row r="243" spans="1:3" ht="51">
      <c r="A243" s="168" t="s">
        <v>969</v>
      </c>
      <c r="B243" s="6" t="s">
        <v>911</v>
      </c>
      <c r="C243" s="6" t="s">
        <v>965</v>
      </c>
    </row>
    <row r="244" spans="1:3" ht="68">
      <c r="A244" s="168" t="s">
        <v>970</v>
      </c>
      <c r="B244" s="6" t="s">
        <v>911</v>
      </c>
      <c r="C244" s="6" t="s">
        <v>965</v>
      </c>
    </row>
    <row r="245" spans="1:3" ht="51">
      <c r="A245" s="168" t="s">
        <v>1341</v>
      </c>
      <c r="B245" s="6" t="s">
        <v>911</v>
      </c>
      <c r="C245" s="6" t="s">
        <v>965</v>
      </c>
    </row>
    <row r="246" spans="1:3" ht="51">
      <c r="A246" s="168" t="s">
        <v>971</v>
      </c>
      <c r="B246" s="6" t="s">
        <v>911</v>
      </c>
      <c r="C246" s="6" t="s">
        <v>965</v>
      </c>
    </row>
    <row r="247" spans="1:3" ht="51">
      <c r="A247" s="168" t="s">
        <v>972</v>
      </c>
      <c r="B247" s="6" t="s">
        <v>911</v>
      </c>
      <c r="C247" s="6" t="s">
        <v>974</v>
      </c>
    </row>
    <row r="248" spans="1:3" ht="51">
      <c r="A248" s="168" t="s">
        <v>973</v>
      </c>
      <c r="B248" s="6" t="s">
        <v>911</v>
      </c>
      <c r="C248" s="6" t="s">
        <v>974</v>
      </c>
    </row>
    <row r="249" spans="1:3" ht="62.25" customHeight="1">
      <c r="A249" s="365" t="s">
        <v>975</v>
      </c>
      <c r="B249" s="365"/>
    </row>
    <row r="250" spans="1:3" ht="136">
      <c r="A250" s="168" t="s">
        <v>976</v>
      </c>
      <c r="B250" s="6" t="s">
        <v>911</v>
      </c>
      <c r="C250" s="6" t="s">
        <v>988</v>
      </c>
    </row>
    <row r="251" spans="1:3" ht="136">
      <c r="A251" s="168" t="s">
        <v>977</v>
      </c>
      <c r="B251" s="6" t="s">
        <v>911</v>
      </c>
      <c r="C251" s="6" t="s">
        <v>988</v>
      </c>
    </row>
    <row r="252" spans="1:3" ht="119">
      <c r="A252" s="168" t="s">
        <v>978</v>
      </c>
      <c r="B252" s="6" t="s">
        <v>911</v>
      </c>
      <c r="C252" s="6" t="s">
        <v>988</v>
      </c>
    </row>
    <row r="253" spans="1:3" ht="187">
      <c r="A253" s="168" t="s">
        <v>979</v>
      </c>
      <c r="B253" s="6" t="s">
        <v>911</v>
      </c>
      <c r="C253" s="6" t="s">
        <v>988</v>
      </c>
    </row>
    <row r="254" spans="1:3" ht="119">
      <c r="A254" s="168" t="s">
        <v>980</v>
      </c>
      <c r="B254" s="6" t="s">
        <v>911</v>
      </c>
      <c r="C254" s="6" t="s">
        <v>989</v>
      </c>
    </row>
    <row r="255" spans="1:3" ht="85">
      <c r="A255" s="168" t="s">
        <v>981</v>
      </c>
      <c r="B255" s="6" t="s">
        <v>911</v>
      </c>
      <c r="C255" s="6" t="s">
        <v>990</v>
      </c>
    </row>
    <row r="256" spans="1:3" ht="85">
      <c r="A256" s="168" t="s">
        <v>982</v>
      </c>
      <c r="B256" s="6" t="s">
        <v>911</v>
      </c>
      <c r="C256" s="6" t="s">
        <v>990</v>
      </c>
    </row>
    <row r="257" spans="1:3" ht="51">
      <c r="A257" s="168" t="s">
        <v>983</v>
      </c>
      <c r="B257" s="6" t="s">
        <v>911</v>
      </c>
      <c r="C257" s="6" t="s">
        <v>990</v>
      </c>
    </row>
    <row r="258" spans="1:3" ht="102">
      <c r="A258" s="168" t="s">
        <v>986</v>
      </c>
      <c r="B258" s="6" t="s">
        <v>911</v>
      </c>
      <c r="C258" s="6" t="s">
        <v>990</v>
      </c>
    </row>
    <row r="259" spans="1:3" ht="51">
      <c r="A259" s="168" t="s">
        <v>984</v>
      </c>
      <c r="B259" s="6" t="s">
        <v>911</v>
      </c>
      <c r="C259" s="6" t="s">
        <v>990</v>
      </c>
    </row>
    <row r="260" spans="1:3" ht="102">
      <c r="A260" s="168" t="s">
        <v>985</v>
      </c>
      <c r="B260" s="6" t="s">
        <v>911</v>
      </c>
      <c r="C260" s="6" t="s">
        <v>1005</v>
      </c>
    </row>
    <row r="261" spans="1:3" ht="51">
      <c r="A261" s="168" t="s">
        <v>987</v>
      </c>
      <c r="B261" s="6" t="s">
        <v>911</v>
      </c>
      <c r="C261" s="6" t="s">
        <v>1004</v>
      </c>
    </row>
    <row r="262" spans="1:3" ht="46.5" customHeight="1">
      <c r="A262" s="365" t="s">
        <v>991</v>
      </c>
      <c r="B262" s="365"/>
      <c r="C262" s="365"/>
    </row>
    <row r="263" spans="1:3" ht="323">
      <c r="A263" s="168" t="s">
        <v>992</v>
      </c>
      <c r="B263" s="6" t="s">
        <v>911</v>
      </c>
      <c r="C263" s="6" t="s">
        <v>1006</v>
      </c>
    </row>
    <row r="264" spans="1:3" ht="119">
      <c r="A264" s="168" t="s">
        <v>993</v>
      </c>
      <c r="B264" s="6" t="s">
        <v>911</v>
      </c>
      <c r="C264" s="6" t="s">
        <v>1006</v>
      </c>
    </row>
    <row r="265" spans="1:3" ht="85">
      <c r="A265" s="168" t="s">
        <v>996</v>
      </c>
      <c r="B265" s="6" t="s">
        <v>911</v>
      </c>
      <c r="C265" s="6" t="s">
        <v>1006</v>
      </c>
    </row>
    <row r="266" spans="1:3" ht="102">
      <c r="A266" s="168" t="s">
        <v>995</v>
      </c>
      <c r="B266" s="6" t="s">
        <v>911</v>
      </c>
      <c r="C266" s="6" t="s">
        <v>1007</v>
      </c>
    </row>
    <row r="267" spans="1:3" ht="102">
      <c r="A267" s="168" t="s">
        <v>994</v>
      </c>
      <c r="B267" s="6" t="s">
        <v>911</v>
      </c>
      <c r="C267" s="6" t="s">
        <v>1007</v>
      </c>
    </row>
    <row r="268" spans="1:3" ht="51">
      <c r="A268" s="6" t="s">
        <v>997</v>
      </c>
      <c r="B268" s="6" t="s">
        <v>911</v>
      </c>
      <c r="C268" s="6" t="s">
        <v>1008</v>
      </c>
    </row>
    <row r="269" spans="1:3" ht="51">
      <c r="A269" t="s">
        <v>998</v>
      </c>
      <c r="B269" s="6" t="s">
        <v>911</v>
      </c>
      <c r="C269" s="6" t="s">
        <v>1008</v>
      </c>
    </row>
    <row r="270" spans="1:3" ht="51">
      <c r="A270" s="168" t="s">
        <v>999</v>
      </c>
      <c r="B270" s="6" t="s">
        <v>911</v>
      </c>
      <c r="C270" s="6" t="s">
        <v>1008</v>
      </c>
    </row>
    <row r="271" spans="1:3" ht="51">
      <c r="A271" s="168" t="s">
        <v>1000</v>
      </c>
      <c r="B271" s="6" t="s">
        <v>911</v>
      </c>
      <c r="C271" s="6" t="s">
        <v>1008</v>
      </c>
    </row>
    <row r="272" spans="1:3" ht="51">
      <c r="A272" s="168" t="s">
        <v>1001</v>
      </c>
      <c r="B272" s="6" t="s">
        <v>911</v>
      </c>
      <c r="C272" s="6" t="s">
        <v>1008</v>
      </c>
    </row>
    <row r="273" spans="1:3" ht="51">
      <c r="A273" s="6" t="s">
        <v>1002</v>
      </c>
      <c r="B273" s="6" t="s">
        <v>911</v>
      </c>
      <c r="C273" s="6" t="s">
        <v>1009</v>
      </c>
    </row>
    <row r="274" spans="1:3" ht="51">
      <c r="A274" t="s">
        <v>1003</v>
      </c>
      <c r="B274" s="6" t="s">
        <v>911</v>
      </c>
      <c r="C274" s="6" t="s">
        <v>1009</v>
      </c>
    </row>
    <row r="275" spans="1:3">
      <c r="A275" t="s">
        <v>1010</v>
      </c>
    </row>
    <row r="276" spans="1:3" ht="85">
      <c r="A276" s="168" t="s">
        <v>1011</v>
      </c>
      <c r="B276" s="6" t="s">
        <v>911</v>
      </c>
      <c r="C276" s="6" t="s">
        <v>1033</v>
      </c>
    </row>
    <row r="277" spans="1:3" ht="85">
      <c r="A277" s="168" t="s">
        <v>1012</v>
      </c>
      <c r="B277" s="6" t="s">
        <v>911</v>
      </c>
      <c r="C277" s="6" t="s">
        <v>1033</v>
      </c>
    </row>
    <row r="278" spans="1:3" ht="85">
      <c r="A278" s="168" t="s">
        <v>1013</v>
      </c>
      <c r="B278" s="6" t="s">
        <v>911</v>
      </c>
      <c r="C278" s="6" t="s">
        <v>1033</v>
      </c>
    </row>
    <row r="279" spans="1:3" ht="51">
      <c r="A279" s="168" t="s">
        <v>1014</v>
      </c>
      <c r="B279" s="6" t="s">
        <v>911</v>
      </c>
      <c r="C279" s="6" t="s">
        <v>1032</v>
      </c>
    </row>
    <row r="280" spans="1:3" ht="51">
      <c r="A280" t="s">
        <v>1015</v>
      </c>
      <c r="B280" s="6" t="s">
        <v>911</v>
      </c>
      <c r="C280" s="6" t="s">
        <v>1032</v>
      </c>
    </row>
    <row r="281" spans="1:3" ht="51">
      <c r="A281" t="s">
        <v>1016</v>
      </c>
      <c r="B281" s="6" t="s">
        <v>911</v>
      </c>
      <c r="C281" s="6" t="s">
        <v>1032</v>
      </c>
    </row>
    <row r="282" spans="1:3" ht="77.5" customHeight="1">
      <c r="A282" s="365" t="s">
        <v>1017</v>
      </c>
      <c r="B282" s="365"/>
      <c r="C282" s="365"/>
    </row>
    <row r="283" spans="1:3" ht="85">
      <c r="A283" s="6" t="s">
        <v>1018</v>
      </c>
      <c r="B283" s="6" t="s">
        <v>911</v>
      </c>
      <c r="C283" s="6" t="s">
        <v>1034</v>
      </c>
    </row>
    <row r="284" spans="1:3" ht="51">
      <c r="A284" t="s">
        <v>1019</v>
      </c>
      <c r="B284" s="6" t="s">
        <v>911</v>
      </c>
      <c r="C284" s="6" t="s">
        <v>1035</v>
      </c>
    </row>
    <row r="285" spans="1:3" ht="51">
      <c r="A285" t="s">
        <v>1020</v>
      </c>
      <c r="B285" s="6" t="s">
        <v>911</v>
      </c>
      <c r="C285" s="6" t="s">
        <v>1035</v>
      </c>
    </row>
    <row r="286" spans="1:3" ht="153">
      <c r="A286" s="168" t="s">
        <v>1021</v>
      </c>
      <c r="B286" s="6" t="s">
        <v>911</v>
      </c>
      <c r="C286" s="6" t="s">
        <v>1035</v>
      </c>
    </row>
    <row r="287" spans="1:3" ht="170">
      <c r="A287" s="168" t="s">
        <v>1022</v>
      </c>
      <c r="B287" s="6" t="s">
        <v>911</v>
      </c>
      <c r="C287" s="6" t="s">
        <v>1036</v>
      </c>
    </row>
    <row r="288" spans="1:3" ht="85">
      <c r="A288" s="168" t="s">
        <v>1023</v>
      </c>
      <c r="B288" s="6" t="s">
        <v>911</v>
      </c>
      <c r="C288" s="6" t="s">
        <v>1036</v>
      </c>
    </row>
    <row r="289" spans="1:3">
      <c r="A289" s="365" t="s">
        <v>1024</v>
      </c>
      <c r="B289" s="365"/>
      <c r="C289" s="365"/>
    </row>
    <row r="290" spans="1:3" ht="102">
      <c r="A290" s="6" t="s">
        <v>1342</v>
      </c>
      <c r="B290" s="6" t="s">
        <v>911</v>
      </c>
      <c r="C290" s="6" t="s">
        <v>1037</v>
      </c>
    </row>
    <row r="291" spans="1:3" ht="119">
      <c r="A291" s="168" t="s">
        <v>1025</v>
      </c>
      <c r="B291" s="6" t="s">
        <v>911</v>
      </c>
      <c r="C291" s="6" t="s">
        <v>1037</v>
      </c>
    </row>
    <row r="292" spans="1:3" ht="51">
      <c r="A292" t="s">
        <v>1026</v>
      </c>
      <c r="B292" s="6" t="s">
        <v>911</v>
      </c>
      <c r="C292" s="6" t="s">
        <v>1038</v>
      </c>
    </row>
    <row r="293" spans="1:3" ht="51">
      <c r="A293" t="s">
        <v>1027</v>
      </c>
      <c r="B293" s="6" t="s">
        <v>911</v>
      </c>
      <c r="C293" s="6" t="s">
        <v>1038</v>
      </c>
    </row>
    <row r="294" spans="1:3" ht="51">
      <c r="A294" t="s">
        <v>1028</v>
      </c>
      <c r="B294" s="6" t="s">
        <v>911</v>
      </c>
      <c r="C294" s="6" t="s">
        <v>1038</v>
      </c>
    </row>
    <row r="295" spans="1:3" ht="51">
      <c r="A295" t="s">
        <v>1029</v>
      </c>
      <c r="B295" s="6" t="s">
        <v>911</v>
      </c>
      <c r="C295" s="6" t="s">
        <v>1038</v>
      </c>
    </row>
    <row r="296" spans="1:3" ht="102">
      <c r="A296" s="6" t="s">
        <v>1030</v>
      </c>
      <c r="B296" s="6" t="s">
        <v>911</v>
      </c>
      <c r="C296" s="6" t="s">
        <v>1038</v>
      </c>
    </row>
    <row r="297" spans="1:3" ht="51">
      <c r="A297" s="6" t="s">
        <v>1031</v>
      </c>
      <c r="B297" s="6" t="s">
        <v>911</v>
      </c>
      <c r="C297" s="6" t="s">
        <v>1039</v>
      </c>
    </row>
    <row r="298" spans="1:3" ht="51">
      <c r="A298" s="6" t="s">
        <v>1042</v>
      </c>
      <c r="B298" s="6" t="s">
        <v>1056</v>
      </c>
      <c r="C298" s="6" t="s">
        <v>1057</v>
      </c>
    </row>
    <row r="299" spans="1:3" ht="102">
      <c r="A299" s="6" t="s">
        <v>1043</v>
      </c>
      <c r="B299" s="6" t="s">
        <v>1055</v>
      </c>
      <c r="C299" s="6" t="s">
        <v>1057</v>
      </c>
    </row>
    <row r="300" spans="1:3" ht="272">
      <c r="A300" s="6" t="s">
        <v>1044</v>
      </c>
      <c r="B300" s="6" t="s">
        <v>1056</v>
      </c>
      <c r="C300" s="6" t="s">
        <v>1057</v>
      </c>
    </row>
    <row r="301" spans="1:3" ht="68">
      <c r="A301" s="6" t="s">
        <v>1045</v>
      </c>
      <c r="B301" s="6" t="s">
        <v>1056</v>
      </c>
      <c r="C301" s="6" t="s">
        <v>1057</v>
      </c>
    </row>
    <row r="302" spans="1:3" ht="68">
      <c r="A302" s="6" t="s">
        <v>1041</v>
      </c>
      <c r="B302" s="6" t="s">
        <v>1056</v>
      </c>
      <c r="C302" s="6" t="s">
        <v>1058</v>
      </c>
    </row>
    <row r="303" spans="1:3" ht="51">
      <c r="A303" s="6" t="s">
        <v>1046</v>
      </c>
      <c r="B303" s="6" t="s">
        <v>1056</v>
      </c>
      <c r="C303" s="6" t="s">
        <v>1058</v>
      </c>
    </row>
    <row r="304" spans="1:3" ht="68">
      <c r="A304" s="6" t="s">
        <v>1047</v>
      </c>
      <c r="B304" s="6" t="s">
        <v>933</v>
      </c>
      <c r="C304" s="6" t="s">
        <v>1058</v>
      </c>
    </row>
    <row r="305" spans="1:4" ht="51">
      <c r="A305" s="6" t="s">
        <v>1048</v>
      </c>
      <c r="B305" s="6" t="s">
        <v>1056</v>
      </c>
      <c r="C305" s="6" t="s">
        <v>1058</v>
      </c>
    </row>
    <row r="306" spans="1:4" ht="102">
      <c r="A306" s="6" t="s">
        <v>1049</v>
      </c>
      <c r="B306" s="6" t="s">
        <v>1056</v>
      </c>
      <c r="C306" s="6" t="s">
        <v>1058</v>
      </c>
    </row>
    <row r="307" spans="1:4" ht="51">
      <c r="A307" s="6" t="s">
        <v>1040</v>
      </c>
      <c r="B307" s="6" t="s">
        <v>1056</v>
      </c>
      <c r="C307" s="6" t="s">
        <v>1059</v>
      </c>
      <c r="D307" t="s">
        <v>1054</v>
      </c>
    </row>
    <row r="308" spans="1:4" ht="51">
      <c r="A308" s="6" t="s">
        <v>1050</v>
      </c>
      <c r="B308" s="6" t="s">
        <v>1060</v>
      </c>
      <c r="C308" s="6" t="s">
        <v>1059</v>
      </c>
    </row>
    <row r="309" spans="1:4" ht="51">
      <c r="A309" s="6" t="s">
        <v>1343</v>
      </c>
      <c r="B309" s="6" t="s">
        <v>1056</v>
      </c>
      <c r="C309" s="6" t="s">
        <v>1059</v>
      </c>
    </row>
    <row r="310" spans="1:4" ht="102">
      <c r="A310" s="6" t="s">
        <v>1051</v>
      </c>
      <c r="B310" s="6" t="s">
        <v>1056</v>
      </c>
      <c r="C310" s="6" t="s">
        <v>1059</v>
      </c>
    </row>
    <row r="311" spans="1:4" ht="51">
      <c r="A311" s="6" t="s">
        <v>1052</v>
      </c>
      <c r="B311" s="6" t="s">
        <v>933</v>
      </c>
      <c r="C311" s="6" t="s">
        <v>1059</v>
      </c>
    </row>
    <row r="312" spans="1:4" ht="289">
      <c r="A312" s="6" t="s">
        <v>1053</v>
      </c>
      <c r="B312" s="6" t="s">
        <v>933</v>
      </c>
      <c r="C312" s="6" t="s">
        <v>1059</v>
      </c>
    </row>
    <row r="313" spans="1:4" ht="204">
      <c r="A313" s="168" t="s">
        <v>1179</v>
      </c>
      <c r="B313" s="6" t="s">
        <v>1178</v>
      </c>
      <c r="C313" s="6" t="s">
        <v>1177</v>
      </c>
    </row>
    <row r="314" spans="1:4" ht="170">
      <c r="A314" s="168" t="s">
        <v>1180</v>
      </c>
      <c r="B314" s="6" t="s">
        <v>1178</v>
      </c>
      <c r="C314" s="6" t="s">
        <v>1181</v>
      </c>
    </row>
    <row r="315" spans="1:4" ht="204">
      <c r="A315" s="168" t="s">
        <v>1183</v>
      </c>
      <c r="C315" s="6" t="s">
        <v>1182</v>
      </c>
    </row>
    <row r="316" spans="1:4" ht="170">
      <c r="A316" s="168" t="s">
        <v>1184</v>
      </c>
      <c r="C316" s="6" t="s">
        <v>1187</v>
      </c>
    </row>
    <row r="317" spans="1:4" ht="85">
      <c r="A317" s="168" t="s">
        <v>1344</v>
      </c>
      <c r="C317" s="6" t="s">
        <v>1185</v>
      </c>
    </row>
    <row r="318" spans="1:4" ht="170">
      <c r="A318" s="168" t="s">
        <v>1186</v>
      </c>
      <c r="C318" s="6" t="s">
        <v>1185</v>
      </c>
    </row>
  </sheetData>
  <autoFilter ref="A1:C1" xr:uid="{EC7C29D9-79EF-4976-8B39-092DAD8D5ACB}"/>
  <mergeCells count="12">
    <mergeCell ref="A249:B249"/>
    <mergeCell ref="A262:C262"/>
    <mergeCell ref="A282:C282"/>
    <mergeCell ref="A289:C289"/>
    <mergeCell ref="A123:C123"/>
    <mergeCell ref="A139:C139"/>
    <mergeCell ref="A131:B131"/>
    <mergeCell ref="A201:C201"/>
    <mergeCell ref="A221:C221"/>
    <mergeCell ref="A187:C187"/>
    <mergeCell ref="A232:C232"/>
    <mergeCell ref="A236:B236"/>
  </mergeCells>
  <phoneticPr fontId="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23E22-B651-4B09-938A-14B56271331B}">
  <dimension ref="A1:C29"/>
  <sheetViews>
    <sheetView topLeftCell="A12" workbookViewId="0"/>
  </sheetViews>
  <sheetFormatPr baseColWidth="10" defaultColWidth="8.7109375" defaultRowHeight="16"/>
  <cols>
    <col min="1" max="1" width="18.140625" customWidth="1"/>
    <col min="2" max="2" width="35.5703125" customWidth="1"/>
    <col min="3" max="3" width="79.140625" customWidth="1"/>
  </cols>
  <sheetData>
    <row r="1" spans="1:2">
      <c r="A1" t="s">
        <v>889</v>
      </c>
    </row>
    <row r="16" spans="1:2">
      <c r="A16" t="s">
        <v>892</v>
      </c>
      <c r="B16" t="s">
        <v>893</v>
      </c>
    </row>
    <row r="17" spans="1:3">
      <c r="A17" t="s">
        <v>894</v>
      </c>
      <c r="B17" t="s">
        <v>899</v>
      </c>
    </row>
    <row r="18" spans="1:3">
      <c r="A18" t="s">
        <v>895</v>
      </c>
      <c r="B18" t="s">
        <v>898</v>
      </c>
    </row>
    <row r="19" spans="1:3">
      <c r="A19" t="s">
        <v>896</v>
      </c>
      <c r="B19" t="s">
        <v>897</v>
      </c>
    </row>
    <row r="21" spans="1:3">
      <c r="A21" t="s">
        <v>1061</v>
      </c>
      <c r="B21" t="s">
        <v>1065</v>
      </c>
      <c r="C21" t="s">
        <v>1064</v>
      </c>
    </row>
    <row r="22" spans="1:3" ht="48.75" customHeight="1">
      <c r="A22" t="s">
        <v>1062</v>
      </c>
      <c r="B22" t="s">
        <v>1066</v>
      </c>
      <c r="C22" s="6" t="s">
        <v>1068</v>
      </c>
    </row>
    <row r="23" spans="1:3" ht="51">
      <c r="A23" t="s">
        <v>1063</v>
      </c>
      <c r="B23" t="s">
        <v>1067</v>
      </c>
      <c r="C23" s="6" t="s">
        <v>1069</v>
      </c>
    </row>
    <row r="25" spans="1:3">
      <c r="A25" t="s">
        <v>1070</v>
      </c>
      <c r="B25" t="s">
        <v>1071</v>
      </c>
      <c r="C25" t="s">
        <v>1072</v>
      </c>
    </row>
    <row r="26" spans="1:3">
      <c r="A26" t="s">
        <v>1073</v>
      </c>
      <c r="B26" t="s">
        <v>1077</v>
      </c>
      <c r="C26" s="185">
        <v>1</v>
      </c>
    </row>
    <row r="27" spans="1:3">
      <c r="A27" t="s">
        <v>1074</v>
      </c>
      <c r="B27" t="s">
        <v>1078</v>
      </c>
      <c r="C27" s="185">
        <v>2</v>
      </c>
    </row>
    <row r="28" spans="1:3">
      <c r="A28" t="s">
        <v>1075</v>
      </c>
      <c r="B28" t="s">
        <v>1079</v>
      </c>
      <c r="C28" s="185">
        <v>3</v>
      </c>
    </row>
    <row r="29" spans="1:3">
      <c r="A29" t="s">
        <v>1076</v>
      </c>
      <c r="B29" t="s">
        <v>1080</v>
      </c>
      <c r="C29" s="185">
        <v>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F2BC0-6DD5-42AF-A7E9-CC6FECF65130}">
  <dimension ref="A1:R48"/>
  <sheetViews>
    <sheetView topLeftCell="B1" workbookViewId="0"/>
  </sheetViews>
  <sheetFormatPr baseColWidth="10" defaultColWidth="8.5703125" defaultRowHeight="16"/>
  <cols>
    <col min="1" max="1" width="12" style="123" hidden="1" customWidth="1"/>
    <col min="2" max="2" width="8.28515625" style="6" customWidth="1"/>
    <col min="3" max="3" width="6.7109375" style="123" customWidth="1"/>
    <col min="4" max="4" width="9.85546875" style="124" customWidth="1"/>
    <col min="5" max="5" width="12" style="4" customWidth="1"/>
    <col min="6" max="6" width="58.42578125" style="6" bestFit="1" customWidth="1"/>
    <col min="7" max="7" width="13.42578125" style="124" customWidth="1"/>
    <col min="8" max="8" width="12.7109375" style="124" customWidth="1"/>
    <col min="9" max="9" width="11" style="124" customWidth="1"/>
    <col min="10" max="10" width="14.7109375" style="123" bestFit="1" customWidth="1"/>
    <col min="11" max="11" width="22.85546875" style="123" hidden="1" customWidth="1"/>
    <col min="12" max="12" width="16.7109375" style="4" customWidth="1"/>
    <col min="13" max="13" width="17.140625" style="4" customWidth="1"/>
    <col min="14" max="14" width="21.5703125" style="4" bestFit="1" customWidth="1"/>
    <col min="15" max="15" width="39.7109375" style="6" bestFit="1" customWidth="1"/>
    <col min="16" max="16" width="34.7109375" style="6" customWidth="1"/>
    <col min="17" max="17" width="30.28515625" style="6" hidden="1" customWidth="1"/>
    <col min="18" max="18" width="35.85546875" style="6" customWidth="1"/>
    <col min="19" max="16384" width="8.5703125" style="6"/>
  </cols>
  <sheetData>
    <row r="1" spans="1:18">
      <c r="G1" s="364" t="s">
        <v>229</v>
      </c>
      <c r="H1" s="364"/>
      <c r="I1" s="364"/>
    </row>
    <row r="2" spans="1:18" s="123" customFormat="1" ht="34">
      <c r="A2" s="109" t="s">
        <v>230</v>
      </c>
      <c r="B2" s="110" t="s">
        <v>231</v>
      </c>
      <c r="C2" s="110" t="s">
        <v>232</v>
      </c>
      <c r="D2" s="111" t="s">
        <v>233</v>
      </c>
      <c r="E2" s="110" t="s">
        <v>234</v>
      </c>
      <c r="F2" s="110" t="s">
        <v>235</v>
      </c>
      <c r="G2" s="112" t="s">
        <v>2</v>
      </c>
      <c r="H2" s="112" t="s">
        <v>3</v>
      </c>
      <c r="I2" s="112" t="s">
        <v>4</v>
      </c>
      <c r="J2" s="110" t="s">
        <v>236</v>
      </c>
      <c r="K2" s="110" t="s">
        <v>5</v>
      </c>
      <c r="L2" s="110" t="s">
        <v>237</v>
      </c>
      <c r="M2" s="110" t="s">
        <v>238</v>
      </c>
      <c r="N2" s="110" t="s">
        <v>239</v>
      </c>
      <c r="O2" s="110" t="s">
        <v>240</v>
      </c>
      <c r="P2" s="110" t="s">
        <v>241</v>
      </c>
      <c r="Q2" s="110" t="s">
        <v>242</v>
      </c>
      <c r="R2" s="113" t="s">
        <v>243</v>
      </c>
    </row>
    <row r="3" spans="1:18" s="123" customFormat="1" ht="126.75" customHeight="1">
      <c r="A3" s="125">
        <v>16</v>
      </c>
      <c r="B3" s="7" t="s">
        <v>258</v>
      </c>
      <c r="C3" s="7" t="s">
        <v>244</v>
      </c>
      <c r="D3" s="126">
        <v>44683</v>
      </c>
      <c r="E3" s="7" t="s">
        <v>245</v>
      </c>
      <c r="F3" s="99" t="s">
        <v>399</v>
      </c>
      <c r="G3" s="127" t="s">
        <v>28</v>
      </c>
      <c r="H3" s="127" t="s">
        <v>28</v>
      </c>
      <c r="I3" s="127" t="s">
        <v>28</v>
      </c>
      <c r="J3" s="7">
        <v>0</v>
      </c>
      <c r="K3" s="7" t="str">
        <f t="shared" ref="K3:K11" si="0">_xlfn.CONCAT(IF(ISBLANK(G3)=FALSE,"MPA, ",""),IF(ISBLANK(H3)=FALSE,"PSA, ",""),IF(ISBLANK(I3)=FALSE,"JP, ",""))</f>
        <v xml:space="preserve">MPA, PSA, JP, </v>
      </c>
      <c r="L3" s="7" t="s">
        <v>260</v>
      </c>
      <c r="M3" s="7" t="s">
        <v>442</v>
      </c>
      <c r="N3" s="7" t="s">
        <v>259</v>
      </c>
      <c r="O3" s="99"/>
      <c r="P3" s="99"/>
      <c r="Q3" s="7"/>
      <c r="R3" s="108"/>
    </row>
    <row r="4" spans="1:18" ht="119">
      <c r="A4" s="125">
        <v>25</v>
      </c>
      <c r="B4" s="7" t="s">
        <v>478</v>
      </c>
      <c r="C4" s="7" t="s">
        <v>244</v>
      </c>
      <c r="D4" s="126">
        <v>44683</v>
      </c>
      <c r="E4" s="7" t="s">
        <v>271</v>
      </c>
      <c r="F4" s="121" t="s">
        <v>415</v>
      </c>
      <c r="G4" s="127" t="s">
        <v>28</v>
      </c>
      <c r="H4" s="127"/>
      <c r="I4" s="127"/>
      <c r="J4" s="7">
        <v>1</v>
      </c>
      <c r="K4" s="7" t="str">
        <f t="shared" si="0"/>
        <v xml:space="preserve">MPA, </v>
      </c>
      <c r="L4" s="7" t="s">
        <v>260</v>
      </c>
      <c r="M4" s="7" t="s">
        <v>433</v>
      </c>
      <c r="N4" s="7" t="s">
        <v>214</v>
      </c>
      <c r="O4" s="99" t="s">
        <v>378</v>
      </c>
      <c r="P4" s="99" t="s">
        <v>247</v>
      </c>
      <c r="Q4" s="99"/>
      <c r="R4" s="108" t="s">
        <v>401</v>
      </c>
    </row>
    <row r="5" spans="1:18" ht="68">
      <c r="A5" s="125">
        <v>28</v>
      </c>
      <c r="B5" s="7" t="s">
        <v>479</v>
      </c>
      <c r="C5" s="7" t="s">
        <v>248</v>
      </c>
      <c r="D5" s="126">
        <v>44683</v>
      </c>
      <c r="E5" s="7" t="s">
        <v>271</v>
      </c>
      <c r="F5" s="99" t="s">
        <v>431</v>
      </c>
      <c r="G5" s="127" t="s">
        <v>28</v>
      </c>
      <c r="H5" s="127"/>
      <c r="I5" s="127"/>
      <c r="J5" s="7">
        <v>1</v>
      </c>
      <c r="K5" s="7" t="str">
        <f t="shared" si="0"/>
        <v xml:space="preserve">MPA, </v>
      </c>
      <c r="L5" s="7" t="s">
        <v>251</v>
      </c>
      <c r="M5" s="7" t="s">
        <v>433</v>
      </c>
      <c r="N5" s="7" t="s">
        <v>214</v>
      </c>
      <c r="O5" s="99" t="s">
        <v>252</v>
      </c>
      <c r="P5" s="99" t="s">
        <v>247</v>
      </c>
      <c r="Q5" s="99"/>
      <c r="R5" s="108"/>
    </row>
    <row r="6" spans="1:18" ht="68">
      <c r="A6" s="125"/>
      <c r="B6" s="98" t="s">
        <v>480</v>
      </c>
      <c r="C6" s="98" t="s">
        <v>254</v>
      </c>
      <c r="D6" s="130">
        <v>44683</v>
      </c>
      <c r="E6" s="98" t="s">
        <v>271</v>
      </c>
      <c r="F6" s="97" t="s">
        <v>513</v>
      </c>
      <c r="G6" s="129" t="s">
        <v>28</v>
      </c>
      <c r="H6" s="131"/>
      <c r="I6" s="131"/>
      <c r="J6" s="98">
        <v>1</v>
      </c>
      <c r="K6" s="98" t="str">
        <f t="shared" si="0"/>
        <v xml:space="preserve">MPA, </v>
      </c>
      <c r="L6" s="98" t="s">
        <v>260</v>
      </c>
      <c r="M6" s="98" t="s">
        <v>403</v>
      </c>
      <c r="N6" s="98" t="s">
        <v>214</v>
      </c>
      <c r="O6" s="97"/>
      <c r="P6" s="97"/>
      <c r="Q6" s="98"/>
      <c r="R6" s="114"/>
    </row>
    <row r="7" spans="1:18" ht="51">
      <c r="A7" s="132">
        <v>34</v>
      </c>
      <c r="B7" s="98" t="s">
        <v>483</v>
      </c>
      <c r="C7" s="98" t="s">
        <v>254</v>
      </c>
      <c r="D7" s="130">
        <v>44683</v>
      </c>
      <c r="E7" s="98" t="s">
        <v>272</v>
      </c>
      <c r="F7" s="122" t="s">
        <v>430</v>
      </c>
      <c r="G7" s="133" t="s">
        <v>28</v>
      </c>
      <c r="H7" s="133"/>
      <c r="I7" s="131"/>
      <c r="J7" s="98">
        <v>1</v>
      </c>
      <c r="K7" s="98" t="str">
        <f t="shared" si="0"/>
        <v xml:space="preserve">MPA, </v>
      </c>
      <c r="L7" s="98" t="s">
        <v>260</v>
      </c>
      <c r="M7" s="98" t="s">
        <v>403</v>
      </c>
      <c r="N7" s="98" t="s">
        <v>214</v>
      </c>
      <c r="O7" s="97" t="s">
        <v>246</v>
      </c>
      <c r="P7" s="97"/>
      <c r="Q7" s="98"/>
      <c r="R7" s="114"/>
    </row>
    <row r="8" spans="1:18" ht="136">
      <c r="A8" s="125">
        <v>45</v>
      </c>
      <c r="B8" s="7" t="s">
        <v>484</v>
      </c>
      <c r="C8" s="7" t="s">
        <v>249</v>
      </c>
      <c r="D8" s="126">
        <v>44683</v>
      </c>
      <c r="E8" s="7" t="s">
        <v>272</v>
      </c>
      <c r="F8" s="99" t="s">
        <v>438</v>
      </c>
      <c r="G8" s="127" t="s">
        <v>28</v>
      </c>
      <c r="H8" s="127"/>
      <c r="I8" s="127"/>
      <c r="J8" s="7">
        <v>1</v>
      </c>
      <c r="K8" s="7" t="str">
        <f t="shared" si="0"/>
        <v xml:space="preserve">MPA, </v>
      </c>
      <c r="L8" s="7" t="s">
        <v>260</v>
      </c>
      <c r="M8" s="7" t="s">
        <v>440</v>
      </c>
      <c r="N8" s="7" t="s">
        <v>214</v>
      </c>
      <c r="O8" s="99" t="s">
        <v>246</v>
      </c>
      <c r="P8" s="99" t="s">
        <v>246</v>
      </c>
      <c r="Q8" s="99"/>
      <c r="R8" s="108"/>
    </row>
    <row r="9" spans="1:18" ht="68">
      <c r="A9" s="125">
        <v>35</v>
      </c>
      <c r="B9" s="7" t="s">
        <v>485</v>
      </c>
      <c r="C9" s="7" t="s">
        <v>244</v>
      </c>
      <c r="D9" s="126">
        <v>44683</v>
      </c>
      <c r="E9" s="7" t="s">
        <v>272</v>
      </c>
      <c r="F9" s="121" t="s">
        <v>416</v>
      </c>
      <c r="G9" s="127" t="s">
        <v>28</v>
      </c>
      <c r="H9" s="127"/>
      <c r="I9" s="127"/>
      <c r="J9" s="7">
        <v>1</v>
      </c>
      <c r="K9" s="7" t="str">
        <f t="shared" si="0"/>
        <v xml:space="preserve">MPA, </v>
      </c>
      <c r="L9" s="7" t="s">
        <v>260</v>
      </c>
      <c r="M9" s="7" t="s">
        <v>433</v>
      </c>
      <c r="N9" s="7" t="s">
        <v>214</v>
      </c>
      <c r="O9" s="99" t="s">
        <v>377</v>
      </c>
      <c r="P9" s="99" t="s">
        <v>247</v>
      </c>
      <c r="Q9" s="99"/>
      <c r="R9" s="108"/>
    </row>
    <row r="10" spans="1:18" ht="153">
      <c r="A10" s="125">
        <v>30</v>
      </c>
      <c r="B10" s="7" t="s">
        <v>492</v>
      </c>
      <c r="C10" s="7" t="s">
        <v>249</v>
      </c>
      <c r="D10" s="126">
        <v>44683</v>
      </c>
      <c r="E10" s="128" t="s">
        <v>470</v>
      </c>
      <c r="F10" s="99" t="s">
        <v>439</v>
      </c>
      <c r="G10" s="129" t="s">
        <v>28</v>
      </c>
      <c r="H10" s="127"/>
      <c r="I10" s="127"/>
      <c r="J10" s="7">
        <v>1</v>
      </c>
      <c r="K10" s="7" t="str">
        <f t="shared" si="0"/>
        <v xml:space="preserve">MPA, </v>
      </c>
      <c r="L10" s="7" t="s">
        <v>260</v>
      </c>
      <c r="M10" s="7" t="s">
        <v>406</v>
      </c>
      <c r="N10" s="7" t="s">
        <v>214</v>
      </c>
      <c r="O10" s="99" t="s">
        <v>252</v>
      </c>
      <c r="P10" s="99"/>
      <c r="Q10" s="7"/>
      <c r="R10" s="108"/>
    </row>
    <row r="11" spans="1:18" ht="102.75" customHeight="1">
      <c r="A11" s="125"/>
      <c r="B11" s="7" t="s">
        <v>471</v>
      </c>
      <c r="C11" s="7" t="s">
        <v>248</v>
      </c>
      <c r="D11" s="126">
        <v>44683</v>
      </c>
      <c r="E11" s="7" t="s">
        <v>245</v>
      </c>
      <c r="F11" s="121" t="s">
        <v>462</v>
      </c>
      <c r="G11" s="129" t="s">
        <v>28</v>
      </c>
      <c r="H11" s="127"/>
      <c r="I11" s="127"/>
      <c r="J11" s="7">
        <v>2</v>
      </c>
      <c r="K11" s="7" t="str">
        <f t="shared" si="0"/>
        <v xml:space="preserve">MPA, </v>
      </c>
      <c r="L11" s="128" t="s">
        <v>282</v>
      </c>
      <c r="M11" s="128" t="s">
        <v>456</v>
      </c>
      <c r="N11" s="7" t="s">
        <v>216</v>
      </c>
      <c r="O11" s="99"/>
      <c r="P11" s="99"/>
      <c r="Q11" s="7"/>
      <c r="R11" s="108"/>
    </row>
    <row r="12" spans="1:18" ht="150.75" customHeight="1">
      <c r="A12" s="125"/>
      <c r="B12" s="7" t="s">
        <v>472</v>
      </c>
      <c r="C12" s="7" t="s">
        <v>248</v>
      </c>
      <c r="D12" s="126">
        <v>44683</v>
      </c>
      <c r="E12" s="7" t="s">
        <v>454</v>
      </c>
      <c r="F12" s="121" t="s">
        <v>464</v>
      </c>
      <c r="G12" s="129" t="s">
        <v>28</v>
      </c>
      <c r="H12" s="127"/>
      <c r="I12" s="127"/>
      <c r="J12" s="7">
        <v>2</v>
      </c>
      <c r="K12" s="7" t="str">
        <f>_xlfn.CONCAT(IF(ISBLANK(G12)=FALSE,"MPA, ",""),IF(ISBLANK(H12)=FALSE,"PSA, ",""),IF(ISBLANK(I12)=FALSE,"JP, ",""),IF(ISBLANK(#REF!)=FALSE,"PIL, ",""))</f>
        <v xml:space="preserve">MPA, PIL, </v>
      </c>
      <c r="L12" s="128" t="s">
        <v>282</v>
      </c>
      <c r="M12" s="128" t="s">
        <v>456</v>
      </c>
      <c r="N12" s="7" t="s">
        <v>216</v>
      </c>
      <c r="O12" s="99"/>
      <c r="P12" s="99"/>
      <c r="Q12" s="7"/>
      <c r="R12" s="108"/>
    </row>
    <row r="13" spans="1:18" ht="136">
      <c r="A13" s="125"/>
      <c r="B13" s="7" t="s">
        <v>474</v>
      </c>
      <c r="C13" s="7" t="s">
        <v>249</v>
      </c>
      <c r="D13" s="126">
        <v>44683</v>
      </c>
      <c r="E13" s="7" t="s">
        <v>425</v>
      </c>
      <c r="F13" s="121" t="s">
        <v>465</v>
      </c>
      <c r="G13" s="129" t="s">
        <v>28</v>
      </c>
      <c r="H13" s="127"/>
      <c r="I13" s="127"/>
      <c r="J13" s="7">
        <v>2</v>
      </c>
      <c r="K13" s="7" t="str">
        <f t="shared" ref="K13:K27" si="1">_xlfn.CONCAT(IF(ISBLANK(G13)=FALSE,"MPA, ",""),IF(ISBLANK(H13)=FALSE,"PSA, ",""),IF(ISBLANK(I13)=FALSE,"JP, ",""))</f>
        <v xml:space="preserve">MPA, </v>
      </c>
      <c r="L13" s="7" t="s">
        <v>260</v>
      </c>
      <c r="M13" s="7" t="s">
        <v>417</v>
      </c>
      <c r="N13" s="7" t="s">
        <v>216</v>
      </c>
      <c r="O13" s="99"/>
      <c r="P13" s="99"/>
      <c r="Q13" s="7"/>
      <c r="R13" s="108"/>
    </row>
    <row r="14" spans="1:18" ht="124.5" customHeight="1">
      <c r="A14" s="125"/>
      <c r="B14" s="7" t="s">
        <v>477</v>
      </c>
      <c r="C14" s="7" t="s">
        <v>244</v>
      </c>
      <c r="D14" s="126">
        <v>44683</v>
      </c>
      <c r="E14" s="7" t="s">
        <v>424</v>
      </c>
      <c r="F14" s="121" t="s">
        <v>466</v>
      </c>
      <c r="G14" s="129" t="s">
        <v>28</v>
      </c>
      <c r="H14" s="127"/>
      <c r="I14" s="127"/>
      <c r="J14" s="7">
        <v>2</v>
      </c>
      <c r="K14" s="7" t="str">
        <f t="shared" si="1"/>
        <v xml:space="preserve">MPA, </v>
      </c>
      <c r="L14" s="7" t="s">
        <v>260</v>
      </c>
      <c r="M14" s="7" t="s">
        <v>463</v>
      </c>
      <c r="N14" s="7" t="s">
        <v>216</v>
      </c>
      <c r="O14" s="99"/>
      <c r="P14" s="99"/>
      <c r="Q14" s="7"/>
      <c r="R14" s="108"/>
    </row>
    <row r="15" spans="1:18" ht="151.5" customHeight="1">
      <c r="A15" s="125"/>
      <c r="B15" s="7" t="s">
        <v>481</v>
      </c>
      <c r="C15" s="7" t="s">
        <v>249</v>
      </c>
      <c r="D15" s="126">
        <v>44683</v>
      </c>
      <c r="E15" s="7" t="s">
        <v>271</v>
      </c>
      <c r="F15" s="121" t="s">
        <v>467</v>
      </c>
      <c r="G15" s="129" t="s">
        <v>28</v>
      </c>
      <c r="H15" s="127"/>
      <c r="I15" s="127"/>
      <c r="J15" s="7">
        <v>2</v>
      </c>
      <c r="K15" s="7" t="str">
        <f t="shared" si="1"/>
        <v xml:space="preserve">MPA, </v>
      </c>
      <c r="L15" s="7" t="s">
        <v>260</v>
      </c>
      <c r="M15" s="7" t="s">
        <v>417</v>
      </c>
      <c r="N15" s="7" t="s">
        <v>216</v>
      </c>
      <c r="O15" s="99"/>
      <c r="P15" s="99"/>
      <c r="Q15" s="7"/>
      <c r="R15" s="108"/>
    </row>
    <row r="16" spans="1:18" ht="67.5" customHeight="1">
      <c r="A16" s="125"/>
      <c r="B16" s="7" t="s">
        <v>486</v>
      </c>
      <c r="C16" s="7" t="s">
        <v>249</v>
      </c>
      <c r="D16" s="126">
        <v>44683</v>
      </c>
      <c r="E16" s="7" t="s">
        <v>272</v>
      </c>
      <c r="F16" s="149" t="s">
        <v>453</v>
      </c>
      <c r="G16" s="129" t="s">
        <v>28</v>
      </c>
      <c r="H16" s="127"/>
      <c r="I16" s="127"/>
      <c r="J16" s="7">
        <v>2</v>
      </c>
      <c r="K16" s="7" t="str">
        <f t="shared" si="1"/>
        <v xml:space="preserve">MPA, </v>
      </c>
      <c r="L16" s="7" t="s">
        <v>260</v>
      </c>
      <c r="M16" s="7" t="s">
        <v>456</v>
      </c>
      <c r="N16" s="7" t="s">
        <v>216</v>
      </c>
      <c r="O16" s="99"/>
      <c r="P16" s="99"/>
      <c r="Q16" s="7"/>
      <c r="R16" s="108"/>
    </row>
    <row r="17" spans="1:18" ht="93.75" customHeight="1">
      <c r="A17" s="125"/>
      <c r="B17" s="7" t="s">
        <v>490</v>
      </c>
      <c r="C17" s="7" t="s">
        <v>249</v>
      </c>
      <c r="D17" s="126">
        <v>44683</v>
      </c>
      <c r="E17" s="7" t="s">
        <v>275</v>
      </c>
      <c r="F17" s="121" t="s">
        <v>452</v>
      </c>
      <c r="G17" s="129" t="s">
        <v>28</v>
      </c>
      <c r="H17" s="127"/>
      <c r="I17" s="127"/>
      <c r="J17" s="7">
        <v>2</v>
      </c>
      <c r="K17" s="7" t="str">
        <f t="shared" si="1"/>
        <v xml:space="preserve">MPA, </v>
      </c>
      <c r="L17" s="7" t="s">
        <v>260</v>
      </c>
      <c r="M17" s="7" t="s">
        <v>417</v>
      </c>
      <c r="N17" s="7" t="s">
        <v>216</v>
      </c>
      <c r="O17" s="99"/>
      <c r="P17" s="99"/>
      <c r="Q17" s="7"/>
      <c r="R17" s="108"/>
    </row>
    <row r="18" spans="1:18" ht="102">
      <c r="A18" s="125">
        <v>93</v>
      </c>
      <c r="B18" s="7" t="s">
        <v>473</v>
      </c>
      <c r="C18" s="7" t="s">
        <v>248</v>
      </c>
      <c r="D18" s="126">
        <v>44683</v>
      </c>
      <c r="E18" s="7" t="s">
        <v>255</v>
      </c>
      <c r="F18" s="99" t="s">
        <v>413</v>
      </c>
      <c r="G18" s="127" t="s">
        <v>28</v>
      </c>
      <c r="H18" s="127"/>
      <c r="I18" s="127"/>
      <c r="J18" s="7">
        <v>3</v>
      </c>
      <c r="K18" s="7" t="str">
        <f t="shared" si="1"/>
        <v xml:space="preserve">MPA, </v>
      </c>
      <c r="L18" s="7" t="s">
        <v>282</v>
      </c>
      <c r="M18" s="99" t="s">
        <v>412</v>
      </c>
      <c r="N18" s="7" t="s">
        <v>216</v>
      </c>
      <c r="O18" s="99" t="s">
        <v>277</v>
      </c>
      <c r="P18" s="99" t="s">
        <v>278</v>
      </c>
      <c r="Q18" s="7"/>
      <c r="R18" s="108" t="s">
        <v>283</v>
      </c>
    </row>
    <row r="19" spans="1:18" ht="85">
      <c r="A19" s="125">
        <v>95</v>
      </c>
      <c r="B19" s="98" t="s">
        <v>475</v>
      </c>
      <c r="C19" s="98" t="s">
        <v>254</v>
      </c>
      <c r="D19" s="130">
        <v>44683</v>
      </c>
      <c r="E19" s="134" t="s">
        <v>285</v>
      </c>
      <c r="F19" s="97" t="s">
        <v>468</v>
      </c>
      <c r="G19" s="133" t="s">
        <v>28</v>
      </c>
      <c r="H19" s="131"/>
      <c r="I19" s="131"/>
      <c r="J19" s="98">
        <v>3</v>
      </c>
      <c r="K19" s="98" t="str">
        <f t="shared" si="1"/>
        <v xml:space="preserve">MPA, </v>
      </c>
      <c r="L19" s="98" t="s">
        <v>260</v>
      </c>
      <c r="M19" s="98" t="s">
        <v>403</v>
      </c>
      <c r="N19" s="98" t="s">
        <v>216</v>
      </c>
      <c r="O19" s="97" t="s">
        <v>246</v>
      </c>
      <c r="P19" s="97" t="s">
        <v>246</v>
      </c>
      <c r="Q19" s="98"/>
      <c r="R19" s="114"/>
    </row>
    <row r="20" spans="1:18" ht="221">
      <c r="A20" s="125">
        <v>106</v>
      </c>
      <c r="B20" s="7" t="s">
        <v>476</v>
      </c>
      <c r="C20" s="7" t="s">
        <v>249</v>
      </c>
      <c r="D20" s="126">
        <v>44683</v>
      </c>
      <c r="E20" s="7" t="s">
        <v>256</v>
      </c>
      <c r="F20" s="99" t="s">
        <v>432</v>
      </c>
      <c r="G20" s="129" t="s">
        <v>28</v>
      </c>
      <c r="H20" s="127"/>
      <c r="I20" s="127"/>
      <c r="J20" s="7">
        <v>3</v>
      </c>
      <c r="K20" s="7" t="str">
        <f t="shared" si="1"/>
        <v xml:space="preserve">MPA, </v>
      </c>
      <c r="L20" s="7" t="s">
        <v>282</v>
      </c>
      <c r="M20" s="99" t="s">
        <v>412</v>
      </c>
      <c r="N20" s="7" t="s">
        <v>216</v>
      </c>
      <c r="O20" s="99" t="s">
        <v>246</v>
      </c>
      <c r="P20" s="99"/>
      <c r="Q20" s="7"/>
      <c r="R20" s="108"/>
    </row>
    <row r="21" spans="1:18" ht="85">
      <c r="A21" s="125">
        <v>126</v>
      </c>
      <c r="B21" s="7" t="s">
        <v>482</v>
      </c>
      <c r="C21" s="7" t="s">
        <v>249</v>
      </c>
      <c r="D21" s="126">
        <v>44683</v>
      </c>
      <c r="E21" s="7" t="s">
        <v>271</v>
      </c>
      <c r="F21" s="99" t="s">
        <v>397</v>
      </c>
      <c r="G21" s="127" t="s">
        <v>28</v>
      </c>
      <c r="H21" s="127"/>
      <c r="I21" s="127"/>
      <c r="J21" s="7">
        <v>3</v>
      </c>
      <c r="K21" s="7" t="str">
        <f t="shared" si="1"/>
        <v xml:space="preserve">MPA, </v>
      </c>
      <c r="L21" s="7" t="s">
        <v>282</v>
      </c>
      <c r="M21" s="99" t="s">
        <v>412</v>
      </c>
      <c r="N21" s="7" t="s">
        <v>216</v>
      </c>
      <c r="O21" s="99" t="s">
        <v>382</v>
      </c>
      <c r="P21" s="99" t="s">
        <v>246</v>
      </c>
      <c r="Q21" s="7"/>
      <c r="R21" s="108"/>
    </row>
    <row r="22" spans="1:18" ht="51">
      <c r="A22" s="125"/>
      <c r="B22" s="98" t="s">
        <v>487</v>
      </c>
      <c r="C22" s="98" t="s">
        <v>254</v>
      </c>
      <c r="D22" s="130">
        <v>44683</v>
      </c>
      <c r="E22" s="98" t="s">
        <v>272</v>
      </c>
      <c r="F22" s="97" t="s">
        <v>423</v>
      </c>
      <c r="G22" s="129" t="s">
        <v>28</v>
      </c>
      <c r="H22" s="131"/>
      <c r="I22" s="131"/>
      <c r="J22" s="98">
        <v>3</v>
      </c>
      <c r="K22" s="98" t="str">
        <f t="shared" si="1"/>
        <v xml:space="preserve">MPA, </v>
      </c>
      <c r="L22" s="98" t="s">
        <v>260</v>
      </c>
      <c r="M22" s="98" t="s">
        <v>403</v>
      </c>
      <c r="N22" s="98" t="s">
        <v>216</v>
      </c>
      <c r="O22" s="97"/>
      <c r="P22" s="97"/>
      <c r="Q22" s="98"/>
      <c r="R22" s="114"/>
    </row>
    <row r="23" spans="1:18" ht="102">
      <c r="A23" s="125">
        <v>116</v>
      </c>
      <c r="B23" s="7" t="s">
        <v>488</v>
      </c>
      <c r="C23" s="7" t="s">
        <v>249</v>
      </c>
      <c r="D23" s="126">
        <v>44683</v>
      </c>
      <c r="E23" s="7" t="s">
        <v>272</v>
      </c>
      <c r="F23" s="99" t="s">
        <v>418</v>
      </c>
      <c r="G23" s="127" t="s">
        <v>28</v>
      </c>
      <c r="H23" s="127"/>
      <c r="I23" s="127"/>
      <c r="J23" s="7">
        <v>3</v>
      </c>
      <c r="K23" s="7" t="str">
        <f t="shared" si="1"/>
        <v xml:space="preserve">MPA, </v>
      </c>
      <c r="L23" s="7" t="s">
        <v>458</v>
      </c>
      <c r="M23" s="7" t="s">
        <v>457</v>
      </c>
      <c r="N23" s="7" t="s">
        <v>216</v>
      </c>
      <c r="O23" s="99" t="s">
        <v>383</v>
      </c>
      <c r="P23" s="99" t="s">
        <v>278</v>
      </c>
      <c r="Q23" s="7"/>
      <c r="R23" s="108" t="s">
        <v>385</v>
      </c>
    </row>
    <row r="24" spans="1:18" s="135" customFormat="1" ht="153">
      <c r="A24" s="125">
        <v>123</v>
      </c>
      <c r="B24" s="7" t="s">
        <v>489</v>
      </c>
      <c r="C24" s="7" t="s">
        <v>249</v>
      </c>
      <c r="D24" s="126">
        <v>44683</v>
      </c>
      <c r="E24" s="7" t="s">
        <v>273</v>
      </c>
      <c r="F24" s="121" t="s">
        <v>419</v>
      </c>
      <c r="G24" s="127" t="s">
        <v>28</v>
      </c>
      <c r="H24" s="127"/>
      <c r="I24" s="127"/>
      <c r="J24" s="7">
        <v>3</v>
      </c>
      <c r="K24" s="7" t="str">
        <f t="shared" si="1"/>
        <v xml:space="preserve">MPA, </v>
      </c>
      <c r="L24" s="121" t="s">
        <v>459</v>
      </c>
      <c r="M24" s="128" t="s">
        <v>457</v>
      </c>
      <c r="N24" s="7" t="s">
        <v>216</v>
      </c>
      <c r="O24" s="99" t="s">
        <v>277</v>
      </c>
      <c r="P24" s="99" t="s">
        <v>278</v>
      </c>
      <c r="Q24" s="7"/>
      <c r="R24" s="108"/>
    </row>
    <row r="25" spans="1:18" s="135" customFormat="1" ht="68">
      <c r="A25" s="125">
        <v>133</v>
      </c>
      <c r="B25" s="7" t="s">
        <v>491</v>
      </c>
      <c r="C25" s="7" t="s">
        <v>244</v>
      </c>
      <c r="D25" s="126">
        <v>44683</v>
      </c>
      <c r="E25" s="7" t="s">
        <v>275</v>
      </c>
      <c r="F25" s="99" t="s">
        <v>398</v>
      </c>
      <c r="G25" s="127" t="s">
        <v>28</v>
      </c>
      <c r="H25" s="127"/>
      <c r="I25" s="127"/>
      <c r="J25" s="7">
        <v>3</v>
      </c>
      <c r="K25" s="7" t="str">
        <f t="shared" si="1"/>
        <v xml:space="preserve">MPA, </v>
      </c>
      <c r="L25" s="121" t="s">
        <v>459</v>
      </c>
      <c r="M25" s="128" t="s">
        <v>457</v>
      </c>
      <c r="N25" s="7" t="s">
        <v>216</v>
      </c>
      <c r="O25" s="100" t="s">
        <v>286</v>
      </c>
      <c r="P25" s="99" t="s">
        <v>278</v>
      </c>
      <c r="Q25" s="7"/>
      <c r="R25" s="108"/>
    </row>
    <row r="26" spans="1:18" ht="79.5" customHeight="1">
      <c r="A26" s="125">
        <v>18</v>
      </c>
      <c r="B26" s="7" t="s">
        <v>493</v>
      </c>
      <c r="C26" s="7" t="s">
        <v>249</v>
      </c>
      <c r="D26" s="126">
        <v>44683</v>
      </c>
      <c r="E26" s="7" t="s">
        <v>250</v>
      </c>
      <c r="F26" s="121" t="s">
        <v>460</v>
      </c>
      <c r="G26" s="127"/>
      <c r="H26" s="127" t="s">
        <v>28</v>
      </c>
      <c r="I26" s="127"/>
      <c r="J26" s="7">
        <v>4</v>
      </c>
      <c r="K26" s="7" t="str">
        <f t="shared" si="1"/>
        <v xml:space="preserve">PSA, </v>
      </c>
      <c r="L26" s="128" t="s">
        <v>443</v>
      </c>
      <c r="M26" s="128" t="s">
        <v>444</v>
      </c>
      <c r="N26" s="7" t="s">
        <v>214</v>
      </c>
      <c r="O26" s="99" t="s">
        <v>402</v>
      </c>
      <c r="P26" s="99" t="s">
        <v>262</v>
      </c>
      <c r="Q26" s="7"/>
      <c r="R26" s="108"/>
    </row>
    <row r="27" spans="1:18" ht="73.5" customHeight="1">
      <c r="A27" s="125">
        <v>19</v>
      </c>
      <c r="B27" s="7" t="s">
        <v>494</v>
      </c>
      <c r="C27" s="7" t="s">
        <v>248</v>
      </c>
      <c r="D27" s="126">
        <v>44683</v>
      </c>
      <c r="E27" s="7" t="s">
        <v>426</v>
      </c>
      <c r="F27" s="99" t="s">
        <v>391</v>
      </c>
      <c r="G27" s="127"/>
      <c r="H27" s="127" t="s">
        <v>28</v>
      </c>
      <c r="I27" s="127"/>
      <c r="J27" s="7">
        <v>4</v>
      </c>
      <c r="K27" s="7" t="str">
        <f t="shared" si="1"/>
        <v xml:space="preserve">PSA, </v>
      </c>
      <c r="L27" s="7" t="s">
        <v>266</v>
      </c>
      <c r="M27" s="128" t="s">
        <v>445</v>
      </c>
      <c r="N27" s="7" t="s">
        <v>214</v>
      </c>
      <c r="O27" s="99" t="s">
        <v>265</v>
      </c>
      <c r="P27" s="99" t="s">
        <v>262</v>
      </c>
      <c r="Q27" s="7"/>
      <c r="R27" s="108"/>
    </row>
    <row r="28" spans="1:18" ht="73.5" customHeight="1">
      <c r="A28" s="125"/>
      <c r="B28" s="7" t="s">
        <v>495</v>
      </c>
      <c r="C28" s="7" t="s">
        <v>249</v>
      </c>
      <c r="D28" s="126">
        <v>45048</v>
      </c>
      <c r="E28" s="128" t="s">
        <v>426</v>
      </c>
      <c r="F28" s="121" t="s">
        <v>446</v>
      </c>
      <c r="G28" s="127"/>
      <c r="H28" s="129" t="s">
        <v>28</v>
      </c>
      <c r="I28" s="127"/>
      <c r="J28" s="7">
        <v>4</v>
      </c>
      <c r="K28" s="7" t="str">
        <f>_xlfn.CONCAT(IF(ISBLANK(G28)=FALSE,"MPA, ",""),IF(ISBLANK(H28)=FALSE,"PSA, ",""),IF(ISBLANK(I28)=FALSE,"JP, ",""),IF(ISBLANK(#REF!)=FALSE,"PIL, ",""))</f>
        <v xml:space="preserve">PSA, PIL, </v>
      </c>
      <c r="L28" s="7" t="s">
        <v>447</v>
      </c>
      <c r="M28" s="128" t="s">
        <v>410</v>
      </c>
      <c r="N28" s="7" t="s">
        <v>214</v>
      </c>
      <c r="O28" s="99"/>
      <c r="P28" s="99"/>
      <c r="Q28" s="7"/>
      <c r="R28" s="108"/>
    </row>
    <row r="29" spans="1:18" ht="132" customHeight="1">
      <c r="A29" s="125">
        <v>22</v>
      </c>
      <c r="B29" s="7" t="s">
        <v>496</v>
      </c>
      <c r="C29" s="7" t="s">
        <v>248</v>
      </c>
      <c r="D29" s="126">
        <v>44683</v>
      </c>
      <c r="E29" s="7" t="s">
        <v>285</v>
      </c>
      <c r="F29" s="121" t="s">
        <v>448</v>
      </c>
      <c r="G29" s="127"/>
      <c r="H29" s="127" t="s">
        <v>28</v>
      </c>
      <c r="I29" s="127"/>
      <c r="J29" s="7">
        <v>4</v>
      </c>
      <c r="K29" s="7" t="str">
        <f>_xlfn.CONCAT(IF(ISBLANK(G29)=FALSE,"MPA, ",""),IF(ISBLANK(H29)=FALSE,"PSA, ",""),IF(ISBLANK(I29)=FALSE,"JP, ",""))</f>
        <v xml:space="preserve">PSA, </v>
      </c>
      <c r="L29" s="7" t="s">
        <v>388</v>
      </c>
      <c r="M29" s="7" t="s">
        <v>394</v>
      </c>
      <c r="N29" s="7" t="s">
        <v>214</v>
      </c>
      <c r="O29" s="99" t="s">
        <v>265</v>
      </c>
      <c r="P29" s="99" t="s">
        <v>262</v>
      </c>
      <c r="Q29" s="7"/>
      <c r="R29" s="108" t="s">
        <v>268</v>
      </c>
    </row>
    <row r="30" spans="1:18" ht="85">
      <c r="A30" s="132">
        <v>27</v>
      </c>
      <c r="B30" s="98" t="s">
        <v>497</v>
      </c>
      <c r="C30" s="98" t="s">
        <v>254</v>
      </c>
      <c r="D30" s="130">
        <v>44683</v>
      </c>
      <c r="E30" s="98" t="s">
        <v>256</v>
      </c>
      <c r="F30" s="97" t="s">
        <v>428</v>
      </c>
      <c r="G30" s="131"/>
      <c r="H30" s="131" t="s">
        <v>28</v>
      </c>
      <c r="I30" s="131"/>
      <c r="J30" s="98">
        <v>4</v>
      </c>
      <c r="K30" s="98" t="str">
        <f>_xlfn.CONCAT(IF(ISBLANK(G30)=FALSE,"MPA, ",""),IF(ISBLANK(H30)=FALSE,"PSA, ",""),IF(ISBLANK(I30)=FALSE,"JP, ",""))</f>
        <v xml:space="preserve">PSA, </v>
      </c>
      <c r="L30" s="98" t="s">
        <v>214</v>
      </c>
      <c r="M30" s="98" t="s">
        <v>408</v>
      </c>
      <c r="N30" s="98" t="s">
        <v>214</v>
      </c>
      <c r="O30" s="97" t="s">
        <v>246</v>
      </c>
      <c r="P30" s="97" t="s">
        <v>246</v>
      </c>
      <c r="Q30" s="98"/>
      <c r="R30" s="114"/>
    </row>
    <row r="31" spans="1:18" ht="143.5" customHeight="1">
      <c r="A31" s="132">
        <v>32</v>
      </c>
      <c r="B31" s="98" t="s">
        <v>498</v>
      </c>
      <c r="C31" s="98" t="s">
        <v>254</v>
      </c>
      <c r="D31" s="130">
        <v>44683</v>
      </c>
      <c r="E31" s="98" t="s">
        <v>271</v>
      </c>
      <c r="F31" s="97" t="s">
        <v>405</v>
      </c>
      <c r="G31" s="131"/>
      <c r="H31" s="133" t="s">
        <v>28</v>
      </c>
      <c r="I31" s="131"/>
      <c r="J31" s="98">
        <v>4</v>
      </c>
      <c r="K31" s="98" t="str">
        <f>_xlfn.CONCAT(IF(ISBLANK(G31)=FALSE,"MPA, ",""),IF(ISBLANK(H31)=FALSE,"PSA, ",""),IF(ISBLANK(I31)=FALSE,"JP, ",""))</f>
        <v xml:space="preserve">PSA, </v>
      </c>
      <c r="L31" s="98" t="s">
        <v>409</v>
      </c>
      <c r="M31" s="98" t="s">
        <v>386</v>
      </c>
      <c r="N31" s="98" t="s">
        <v>214</v>
      </c>
      <c r="O31" s="97" t="s">
        <v>246</v>
      </c>
      <c r="P31" s="97"/>
      <c r="Q31" s="98"/>
      <c r="R31" s="114"/>
    </row>
    <row r="32" spans="1:18" ht="128.25" customHeight="1">
      <c r="A32" s="125">
        <v>42</v>
      </c>
      <c r="B32" s="7" t="s">
        <v>499</v>
      </c>
      <c r="C32" s="7" t="s">
        <v>244</v>
      </c>
      <c r="D32" s="126">
        <v>44683</v>
      </c>
      <c r="E32" s="7" t="s">
        <v>271</v>
      </c>
      <c r="F32" s="100" t="s">
        <v>420</v>
      </c>
      <c r="G32" s="127"/>
      <c r="H32" s="127" t="s">
        <v>28</v>
      </c>
      <c r="I32" s="127"/>
      <c r="J32" s="7">
        <v>4</v>
      </c>
      <c r="K32" s="7" t="str">
        <f>_xlfn.CONCAT(IF(ISBLANK(G32)=FALSE,"MPA, ",""),IF(ISBLANK(H32)=FALSE,"PSA, ",""),IF(ISBLANK(I32)=FALSE,"JP, ",""))</f>
        <v xml:space="preserve">PSA, </v>
      </c>
      <c r="L32" s="7" t="s">
        <v>260</v>
      </c>
      <c r="M32" s="7" t="s">
        <v>387</v>
      </c>
      <c r="N32" s="7" t="s">
        <v>216</v>
      </c>
      <c r="O32" s="99" t="s">
        <v>274</v>
      </c>
      <c r="P32" s="99" t="s">
        <v>262</v>
      </c>
      <c r="Q32" s="7"/>
      <c r="R32" s="108"/>
    </row>
    <row r="33" spans="1:18" ht="119">
      <c r="A33" s="125">
        <v>26</v>
      </c>
      <c r="B33" s="7" t="s">
        <v>500</v>
      </c>
      <c r="C33" s="7" t="s">
        <v>248</v>
      </c>
      <c r="D33" s="126">
        <v>44683</v>
      </c>
      <c r="E33" s="7" t="s">
        <v>272</v>
      </c>
      <c r="F33" s="121" t="s">
        <v>469</v>
      </c>
      <c r="G33" s="129"/>
      <c r="H33" s="129" t="s">
        <v>28</v>
      </c>
      <c r="I33" s="129"/>
      <c r="J33" s="7">
        <v>4</v>
      </c>
      <c r="K33" s="7" t="str">
        <f>_xlfn.CONCAT(IF(ISBLANK(G33)=FALSE,"MPA, ",""),IF(ISBLANK(H33)=FALSE,"PSA, ",""),IF(ISBLANK(I33)=FALSE,"JP, ",""))</f>
        <v xml:space="preserve">PSA, </v>
      </c>
      <c r="L33" s="7" t="s">
        <v>429</v>
      </c>
      <c r="M33" s="7" t="s">
        <v>394</v>
      </c>
      <c r="N33" s="7" t="s">
        <v>216</v>
      </c>
      <c r="O33" s="99" t="s">
        <v>379</v>
      </c>
      <c r="P33" s="99" t="s">
        <v>262</v>
      </c>
      <c r="Q33" s="7"/>
      <c r="R33" s="108"/>
    </row>
    <row r="34" spans="1:18" ht="96" customHeight="1">
      <c r="A34" s="125"/>
      <c r="B34" s="7" t="s">
        <v>501</v>
      </c>
      <c r="C34" s="7" t="s">
        <v>248</v>
      </c>
      <c r="D34" s="126">
        <v>45048</v>
      </c>
      <c r="E34" s="128" t="s">
        <v>390</v>
      </c>
      <c r="F34" s="121" t="s">
        <v>451</v>
      </c>
      <c r="G34" s="129"/>
      <c r="H34" s="129" t="s">
        <v>28</v>
      </c>
      <c r="I34" s="129"/>
      <c r="J34" s="7">
        <v>4</v>
      </c>
      <c r="K34" s="7" t="str">
        <f>_xlfn.CONCAT(IF(ISBLANK(G34)=FALSE,"MPA, ",""),IF(ISBLANK(H34)=FALSE,"PSA, ",""),IF(ISBLANK(I34)=FALSE,"JP, ",""),IF(ISBLANK(#REF!)=FALSE,"PIL, ",""))</f>
        <v xml:space="preserve">PSA, PIL, </v>
      </c>
      <c r="L34" s="128" t="s">
        <v>429</v>
      </c>
      <c r="M34" s="128" t="s">
        <v>394</v>
      </c>
      <c r="N34" s="7" t="s">
        <v>216</v>
      </c>
      <c r="O34" s="99"/>
      <c r="P34" s="99"/>
      <c r="Q34" s="7"/>
      <c r="R34" s="108"/>
    </row>
    <row r="35" spans="1:18" s="135" customFormat="1" ht="51" customHeight="1">
      <c r="A35" s="125"/>
      <c r="B35" s="7" t="s">
        <v>502</v>
      </c>
      <c r="C35" s="7" t="s">
        <v>249</v>
      </c>
      <c r="D35" s="126">
        <v>44683</v>
      </c>
      <c r="E35" s="7" t="s">
        <v>455</v>
      </c>
      <c r="F35" s="147" t="s">
        <v>441</v>
      </c>
      <c r="G35" s="129"/>
      <c r="H35" s="129" t="s">
        <v>28</v>
      </c>
      <c r="I35" s="129"/>
      <c r="J35" s="7">
        <v>4</v>
      </c>
      <c r="K35" s="7" t="str">
        <f t="shared" ref="K35:K48" si="2">_xlfn.CONCAT(IF(ISBLANK(G35)=FALSE,"MPA, ",""),IF(ISBLANK(H35)=FALSE,"PSA, ",""),IF(ISBLANK(I35)=FALSE,"JP, ",""))</f>
        <v xml:space="preserve">PSA, </v>
      </c>
      <c r="L35" s="7" t="s">
        <v>407</v>
      </c>
      <c r="M35" s="7" t="s">
        <v>410</v>
      </c>
      <c r="N35" s="7" t="s">
        <v>216</v>
      </c>
      <c r="O35" s="99"/>
      <c r="P35" s="99"/>
      <c r="Q35" s="7"/>
      <c r="R35" s="99"/>
    </row>
    <row r="36" spans="1:18" ht="136">
      <c r="A36" s="125"/>
      <c r="B36" s="98" t="s">
        <v>503</v>
      </c>
      <c r="C36" s="98" t="s">
        <v>254</v>
      </c>
      <c r="D36" s="130">
        <v>44683</v>
      </c>
      <c r="E36" s="98" t="s">
        <v>273</v>
      </c>
      <c r="F36" s="97" t="s">
        <v>512</v>
      </c>
      <c r="G36" s="131"/>
      <c r="H36" s="129" t="s">
        <v>28</v>
      </c>
      <c r="I36" s="131"/>
      <c r="J36" s="98">
        <v>4</v>
      </c>
      <c r="K36" s="98" t="str">
        <f t="shared" si="2"/>
        <v xml:space="preserve">PSA, </v>
      </c>
      <c r="L36" s="98" t="s">
        <v>214</v>
      </c>
      <c r="M36" s="98" t="s">
        <v>408</v>
      </c>
      <c r="N36" s="98" t="s">
        <v>214</v>
      </c>
      <c r="O36" s="97"/>
      <c r="P36" s="97"/>
      <c r="Q36" s="97"/>
      <c r="R36" s="114"/>
    </row>
    <row r="37" spans="1:18" ht="170">
      <c r="A37" s="125">
        <v>48</v>
      </c>
      <c r="B37" s="7" t="s">
        <v>504</v>
      </c>
      <c r="C37" s="7" t="s">
        <v>249</v>
      </c>
      <c r="D37" s="126">
        <v>44683</v>
      </c>
      <c r="E37" s="7" t="s">
        <v>275</v>
      </c>
      <c r="F37" s="121" t="s">
        <v>449</v>
      </c>
      <c r="G37" s="127"/>
      <c r="H37" s="129" t="s">
        <v>28</v>
      </c>
      <c r="I37" s="127"/>
      <c r="J37" s="7">
        <v>4</v>
      </c>
      <c r="K37" s="7" t="str">
        <f t="shared" si="2"/>
        <v xml:space="preserve">PSA, </v>
      </c>
      <c r="L37" s="7" t="s">
        <v>393</v>
      </c>
      <c r="M37" s="7" t="s">
        <v>410</v>
      </c>
      <c r="N37" s="7" t="s">
        <v>216</v>
      </c>
      <c r="O37" s="99" t="s">
        <v>380</v>
      </c>
      <c r="P37" s="99"/>
      <c r="Q37" s="7"/>
      <c r="R37" s="108"/>
    </row>
    <row r="38" spans="1:18" ht="68">
      <c r="A38" s="125">
        <v>105</v>
      </c>
      <c r="B38" s="7" t="s">
        <v>505</v>
      </c>
      <c r="C38" s="7" t="s">
        <v>248</v>
      </c>
      <c r="D38" s="126">
        <v>44683</v>
      </c>
      <c r="E38" s="7" t="s">
        <v>250</v>
      </c>
      <c r="F38" s="99" t="s">
        <v>414</v>
      </c>
      <c r="G38" s="127"/>
      <c r="H38" s="127"/>
      <c r="I38" s="127" t="s">
        <v>28</v>
      </c>
      <c r="J38" s="7">
        <v>5</v>
      </c>
      <c r="K38" s="7" t="str">
        <f t="shared" si="2"/>
        <v xml:space="preserve">JP, </v>
      </c>
      <c r="L38" s="7" t="s">
        <v>263</v>
      </c>
      <c r="M38" s="7" t="s">
        <v>264</v>
      </c>
      <c r="N38" s="7" t="s">
        <v>214</v>
      </c>
      <c r="O38" s="99" t="s">
        <v>265</v>
      </c>
      <c r="P38" s="99" t="s">
        <v>261</v>
      </c>
      <c r="Q38" s="7"/>
      <c r="R38" s="108"/>
    </row>
    <row r="39" spans="1:18" ht="153">
      <c r="A39" s="125">
        <v>109</v>
      </c>
      <c r="B39" s="7" t="s">
        <v>506</v>
      </c>
      <c r="C39" s="7" t="s">
        <v>248</v>
      </c>
      <c r="D39" s="126">
        <v>44683</v>
      </c>
      <c r="E39" s="7" t="s">
        <v>255</v>
      </c>
      <c r="F39" s="99" t="s">
        <v>404</v>
      </c>
      <c r="G39" s="127"/>
      <c r="H39" s="127"/>
      <c r="I39" s="127" t="s">
        <v>28</v>
      </c>
      <c r="J39" s="7">
        <v>5</v>
      </c>
      <c r="K39" s="7" t="str">
        <f t="shared" si="2"/>
        <v xml:space="preserve">JP, </v>
      </c>
      <c r="L39" s="128" t="s">
        <v>392</v>
      </c>
      <c r="M39" s="7" t="s">
        <v>267</v>
      </c>
      <c r="N39" s="7" t="s">
        <v>214</v>
      </c>
      <c r="O39" s="99" t="s">
        <v>450</v>
      </c>
      <c r="P39" s="99" t="s">
        <v>261</v>
      </c>
      <c r="Q39" s="7"/>
      <c r="R39" s="108"/>
    </row>
    <row r="40" spans="1:18" ht="85">
      <c r="A40" s="125">
        <v>113</v>
      </c>
      <c r="B40" s="98" t="s">
        <v>507</v>
      </c>
      <c r="C40" s="98" t="s">
        <v>254</v>
      </c>
      <c r="D40" s="130">
        <v>44683</v>
      </c>
      <c r="E40" s="98" t="s">
        <v>425</v>
      </c>
      <c r="F40" s="97" t="s">
        <v>434</v>
      </c>
      <c r="G40" s="131"/>
      <c r="H40" s="131"/>
      <c r="I40" s="127" t="s">
        <v>28</v>
      </c>
      <c r="J40" s="98">
        <v>5</v>
      </c>
      <c r="K40" s="98" t="str">
        <f t="shared" si="2"/>
        <v xml:space="preserve">JP, </v>
      </c>
      <c r="L40" s="98" t="s">
        <v>214</v>
      </c>
      <c r="M40" s="98" t="s">
        <v>269</v>
      </c>
      <c r="N40" s="98" t="s">
        <v>214</v>
      </c>
      <c r="O40" s="97" t="s">
        <v>246</v>
      </c>
      <c r="P40" s="97" t="s">
        <v>246</v>
      </c>
      <c r="Q40" s="98"/>
      <c r="R40" s="114"/>
    </row>
    <row r="41" spans="1:18" ht="119">
      <c r="A41" s="125">
        <v>104</v>
      </c>
      <c r="B41" s="7" t="s">
        <v>508</v>
      </c>
      <c r="C41" s="7" t="s">
        <v>244</v>
      </c>
      <c r="D41" s="126">
        <v>44683</v>
      </c>
      <c r="E41" s="7" t="s">
        <v>256</v>
      </c>
      <c r="F41" s="121" t="s">
        <v>420</v>
      </c>
      <c r="G41" s="127"/>
      <c r="H41" s="127"/>
      <c r="I41" s="127" t="s">
        <v>28</v>
      </c>
      <c r="J41" s="7">
        <v>5</v>
      </c>
      <c r="K41" s="7" t="str">
        <f t="shared" si="2"/>
        <v xml:space="preserve">JP, </v>
      </c>
      <c r="L41" s="7" t="s">
        <v>260</v>
      </c>
      <c r="M41" s="7" t="s">
        <v>384</v>
      </c>
      <c r="N41" s="7" t="s">
        <v>214</v>
      </c>
      <c r="O41" s="99" t="s">
        <v>381</v>
      </c>
      <c r="P41" s="99" t="s">
        <v>261</v>
      </c>
      <c r="Q41" s="7"/>
      <c r="R41" s="108"/>
    </row>
    <row r="42" spans="1:18" ht="51">
      <c r="A42" s="125">
        <v>120</v>
      </c>
      <c r="B42" s="98" t="s">
        <v>509</v>
      </c>
      <c r="C42" s="98" t="s">
        <v>254</v>
      </c>
      <c r="D42" s="130">
        <v>44683</v>
      </c>
      <c r="E42" s="98" t="s">
        <v>424</v>
      </c>
      <c r="F42" s="97" t="s">
        <v>435</v>
      </c>
      <c r="G42" s="131"/>
      <c r="H42" s="131"/>
      <c r="I42" s="133" t="s">
        <v>28</v>
      </c>
      <c r="J42" s="98">
        <v>5</v>
      </c>
      <c r="K42" s="98" t="str">
        <f t="shared" si="2"/>
        <v xml:space="preserve">JP, </v>
      </c>
      <c r="L42" s="98" t="s">
        <v>260</v>
      </c>
      <c r="M42" s="98" t="s">
        <v>389</v>
      </c>
      <c r="N42" s="98" t="s">
        <v>214</v>
      </c>
      <c r="O42" s="97" t="s">
        <v>246</v>
      </c>
      <c r="P42" s="97"/>
      <c r="Q42" s="98"/>
      <c r="R42" s="114"/>
    </row>
    <row r="43" spans="1:18" ht="68">
      <c r="A43" s="125">
        <v>128</v>
      </c>
      <c r="B43" s="98" t="s">
        <v>510</v>
      </c>
      <c r="C43" s="98" t="s">
        <v>254</v>
      </c>
      <c r="D43" s="130">
        <v>44683</v>
      </c>
      <c r="E43" s="136" t="s">
        <v>271</v>
      </c>
      <c r="F43" s="122" t="s">
        <v>436</v>
      </c>
      <c r="G43" s="133"/>
      <c r="H43" s="131"/>
      <c r="I43" s="127" t="s">
        <v>28</v>
      </c>
      <c r="J43" s="98">
        <v>5</v>
      </c>
      <c r="K43" s="98" t="str">
        <f t="shared" si="2"/>
        <v xml:space="preserve">JP, </v>
      </c>
      <c r="L43" s="98" t="s">
        <v>437</v>
      </c>
      <c r="M43" s="148" t="s">
        <v>461</v>
      </c>
      <c r="N43" s="98" t="s">
        <v>214</v>
      </c>
      <c r="O43" s="97" t="s">
        <v>281</v>
      </c>
      <c r="P43" s="97" t="s">
        <v>261</v>
      </c>
      <c r="Q43" s="98"/>
      <c r="R43" s="114" t="s">
        <v>400</v>
      </c>
    </row>
    <row r="44" spans="1:18" ht="136">
      <c r="A44" s="125">
        <v>118</v>
      </c>
      <c r="B44" s="7" t="s">
        <v>511</v>
      </c>
      <c r="C44" s="7" t="s">
        <v>249</v>
      </c>
      <c r="D44" s="126">
        <v>44683</v>
      </c>
      <c r="E44" s="7" t="s">
        <v>272</v>
      </c>
      <c r="F44" s="121" t="s">
        <v>514</v>
      </c>
      <c r="G44" s="127"/>
      <c r="H44" s="127"/>
      <c r="I44" s="127" t="s">
        <v>28</v>
      </c>
      <c r="J44" s="7">
        <v>5</v>
      </c>
      <c r="K44" s="7" t="str">
        <f t="shared" si="2"/>
        <v xml:space="preserve">JP, </v>
      </c>
      <c r="L44" s="7" t="s">
        <v>411</v>
      </c>
      <c r="M44" s="7" t="s">
        <v>267</v>
      </c>
      <c r="N44" s="7" t="s">
        <v>214</v>
      </c>
      <c r="O44" s="99" t="s">
        <v>246</v>
      </c>
      <c r="P44" s="99" t="s">
        <v>246</v>
      </c>
      <c r="Q44" s="7"/>
      <c r="R44" s="108"/>
    </row>
    <row r="45" spans="1:18" ht="17">
      <c r="A45" s="140"/>
      <c r="B45" s="105"/>
      <c r="C45" s="105"/>
      <c r="D45" s="138">
        <v>44683</v>
      </c>
      <c r="E45" s="141" t="s">
        <v>395</v>
      </c>
      <c r="F45" s="107" t="s">
        <v>270</v>
      </c>
      <c r="G45" s="142"/>
      <c r="H45" s="142"/>
      <c r="I45" s="142"/>
      <c r="J45" s="105"/>
      <c r="K45" s="105" t="str">
        <f t="shared" si="2"/>
        <v/>
      </c>
      <c r="L45" s="105"/>
      <c r="M45" s="105"/>
      <c r="N45" s="105"/>
      <c r="O45" s="106"/>
      <c r="P45" s="106"/>
      <c r="Q45" s="105"/>
      <c r="R45" s="116"/>
    </row>
    <row r="46" spans="1:18" ht="17">
      <c r="A46" s="137"/>
      <c r="B46" s="102"/>
      <c r="C46" s="102"/>
      <c r="D46" s="138">
        <v>44683</v>
      </c>
      <c r="E46" s="18" t="s">
        <v>396</v>
      </c>
      <c r="F46" s="101" t="s">
        <v>257</v>
      </c>
      <c r="G46" s="139"/>
      <c r="H46" s="139"/>
      <c r="I46" s="139"/>
      <c r="J46" s="102"/>
      <c r="K46" s="102" t="str">
        <f t="shared" si="2"/>
        <v/>
      </c>
      <c r="L46" s="102"/>
      <c r="M46" s="102"/>
      <c r="N46" s="102"/>
      <c r="O46" s="103"/>
      <c r="P46" s="103"/>
      <c r="Q46" s="102"/>
      <c r="R46" s="115"/>
    </row>
    <row r="47" spans="1:18" ht="17">
      <c r="A47" s="140"/>
      <c r="B47" s="105"/>
      <c r="C47" s="105"/>
      <c r="D47" s="138">
        <v>44683</v>
      </c>
      <c r="E47" s="143" t="s">
        <v>279</v>
      </c>
      <c r="F47" s="104" t="s">
        <v>280</v>
      </c>
      <c r="G47" s="142"/>
      <c r="H47" s="142"/>
      <c r="I47" s="142"/>
      <c r="J47" s="105"/>
      <c r="K47" s="105" t="str">
        <f t="shared" si="2"/>
        <v/>
      </c>
      <c r="L47" s="105"/>
      <c r="M47" s="105"/>
      <c r="N47" s="105"/>
      <c r="O47" s="106"/>
      <c r="P47" s="106"/>
      <c r="Q47" s="106"/>
      <c r="R47" s="116"/>
    </row>
    <row r="48" spans="1:18" ht="17">
      <c r="A48" s="144"/>
      <c r="B48" s="118"/>
      <c r="C48" s="118"/>
      <c r="D48" s="145">
        <v>44683</v>
      </c>
      <c r="E48" s="118"/>
      <c r="F48" s="117" t="s">
        <v>287</v>
      </c>
      <c r="G48" s="146"/>
      <c r="H48" s="146"/>
      <c r="I48" s="146"/>
      <c r="J48" s="118"/>
      <c r="K48" s="118" t="str">
        <f t="shared" si="2"/>
        <v/>
      </c>
      <c r="L48" s="118"/>
      <c r="M48" s="118"/>
      <c r="N48" s="118"/>
      <c r="O48" s="119"/>
      <c r="P48" s="119"/>
      <c r="Q48" s="118"/>
      <c r="R48" s="120"/>
    </row>
  </sheetData>
  <mergeCells count="1">
    <mergeCell ref="G1:I1"/>
  </mergeCells>
  <conditionalFormatting sqref="G3 G4:I47">
    <cfRule type="notContainsBlanks" dxfId="2" priority="3">
      <formula>LEN(TRIM(G3))&gt;0</formula>
    </cfRule>
  </conditionalFormatting>
  <conditionalFormatting sqref="H3">
    <cfRule type="notContainsBlanks" dxfId="1" priority="2">
      <formula>LEN(TRIM(H3))&gt;0</formula>
    </cfRule>
  </conditionalFormatting>
  <conditionalFormatting sqref="I3">
    <cfRule type="notContainsBlanks" dxfId="0" priority="1">
      <formula>LEN(TRIM(I3))&gt;0</formula>
    </cfRule>
  </conditionalFormatting>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8A56C-732A-45EC-B748-86E9A0B101CB}">
  <dimension ref="A5:BM16"/>
  <sheetViews>
    <sheetView workbookViewId="0"/>
  </sheetViews>
  <sheetFormatPr baseColWidth="10" defaultColWidth="18.42578125" defaultRowHeight="16"/>
  <cols>
    <col min="1" max="1" width="18.42578125" style="6" customWidth="1"/>
    <col min="2" max="2" width="18.42578125" style="123"/>
    <col min="3" max="3" width="18.42578125" style="124"/>
    <col min="4" max="4" width="18.42578125" style="4"/>
    <col min="5" max="5" width="18.42578125" style="6"/>
    <col min="6" max="6" width="18.42578125" style="123"/>
    <col min="7" max="7" width="18.42578125" style="4"/>
    <col min="8" max="16384" width="18.42578125" style="6"/>
  </cols>
  <sheetData>
    <row r="5" spans="1:65">
      <c r="A5" s="172" t="s">
        <v>559</v>
      </c>
      <c r="B5" s="172" t="s">
        <v>505</v>
      </c>
      <c r="C5" s="172" t="s">
        <v>506</v>
      </c>
      <c r="D5" s="172" t="s">
        <v>471</v>
      </c>
      <c r="E5" s="172" t="s">
        <v>472</v>
      </c>
      <c r="F5" s="172" t="s">
        <v>493</v>
      </c>
      <c r="G5" s="172" t="s">
        <v>494</v>
      </c>
      <c r="H5" s="172" t="s">
        <v>507</v>
      </c>
      <c r="I5" s="172" t="s">
        <v>495</v>
      </c>
      <c r="J5" s="172" t="s">
        <v>508</v>
      </c>
      <c r="K5" s="172" t="s">
        <v>496</v>
      </c>
      <c r="L5" s="172" t="s">
        <v>497</v>
      </c>
      <c r="M5" s="172" t="s">
        <v>473</v>
      </c>
      <c r="N5" s="172" t="s">
        <v>474</v>
      </c>
      <c r="O5" s="172" t="s">
        <v>475</v>
      </c>
      <c r="P5" s="172" t="s">
        <v>476</v>
      </c>
      <c r="Q5" s="172" t="s">
        <v>477</v>
      </c>
      <c r="R5" s="172" t="s">
        <v>509</v>
      </c>
      <c r="S5" s="172" t="s">
        <v>478</v>
      </c>
      <c r="T5" s="172" t="s">
        <v>498</v>
      </c>
      <c r="U5" s="172" t="s">
        <v>510</v>
      </c>
      <c r="V5" s="172" t="s">
        <v>499</v>
      </c>
      <c r="W5" s="172" t="s">
        <v>500</v>
      </c>
      <c r="X5" s="172" t="s">
        <v>501</v>
      </c>
      <c r="Y5" s="173"/>
      <c r="Z5" s="172" t="s">
        <v>479</v>
      </c>
      <c r="AA5" s="172" t="s">
        <v>480</v>
      </c>
      <c r="AB5" s="172" t="s">
        <v>481</v>
      </c>
      <c r="AC5" s="172" t="s">
        <v>511</v>
      </c>
      <c r="AD5" s="172" t="s">
        <v>574</v>
      </c>
      <c r="AE5" s="172" t="s">
        <v>482</v>
      </c>
      <c r="AF5" s="172" t="s">
        <v>483</v>
      </c>
      <c r="AG5" s="172" t="s">
        <v>502</v>
      </c>
      <c r="AH5" s="172" t="s">
        <v>503</v>
      </c>
      <c r="AI5" s="172" t="s">
        <v>504</v>
      </c>
      <c r="AJ5" s="172" t="s">
        <v>568</v>
      </c>
      <c r="AK5" s="172" t="s">
        <v>575</v>
      </c>
      <c r="AL5" s="172" t="s">
        <v>576</v>
      </c>
      <c r="AM5" s="172" t="s">
        <v>642</v>
      </c>
      <c r="AN5" s="172" t="s">
        <v>484</v>
      </c>
      <c r="AO5" s="172" t="s">
        <v>485</v>
      </c>
      <c r="AP5" s="172" t="s">
        <v>486</v>
      </c>
      <c r="AQ5" s="172" t="s">
        <v>487</v>
      </c>
      <c r="AR5" s="172"/>
      <c r="AS5" s="172"/>
      <c r="AT5" s="172" t="s">
        <v>577</v>
      </c>
      <c r="AU5" s="172" t="s">
        <v>560</v>
      </c>
      <c r="AV5" s="172" t="s">
        <v>569</v>
      </c>
      <c r="AW5" s="172" t="s">
        <v>570</v>
      </c>
      <c r="AX5" s="172" t="s">
        <v>578</v>
      </c>
      <c r="AY5" s="172" t="s">
        <v>561</v>
      </c>
      <c r="AZ5" s="172" t="s">
        <v>571</v>
      </c>
      <c r="BA5" s="172" t="s">
        <v>572</v>
      </c>
      <c r="BB5" s="172" t="s">
        <v>573</v>
      </c>
      <c r="BC5" s="172" t="s">
        <v>579</v>
      </c>
      <c r="BD5" s="172" t="s">
        <v>580</v>
      </c>
      <c r="BE5" s="172" t="s">
        <v>562</v>
      </c>
      <c r="BF5" s="172" t="s">
        <v>563</v>
      </c>
      <c r="BG5" s="172" t="s">
        <v>564</v>
      </c>
      <c r="BH5" s="172" t="s">
        <v>565</v>
      </c>
      <c r="BI5" s="172" t="s">
        <v>566</v>
      </c>
      <c r="BJ5" s="172" t="s">
        <v>567</v>
      </c>
      <c r="BK5" s="172"/>
      <c r="BL5" s="172" t="s">
        <v>581</v>
      </c>
    </row>
    <row r="6" spans="1:65">
      <c r="A6" s="170">
        <v>99</v>
      </c>
      <c r="B6" s="170">
        <v>7</v>
      </c>
      <c r="C6" s="170">
        <v>7</v>
      </c>
      <c r="D6" s="170">
        <v>1</v>
      </c>
      <c r="E6" s="170">
        <v>1</v>
      </c>
      <c r="F6" s="170">
        <v>4</v>
      </c>
      <c r="G6" s="170">
        <v>4</v>
      </c>
      <c r="H6" s="170">
        <v>7</v>
      </c>
      <c r="I6" s="170">
        <v>4</v>
      </c>
      <c r="J6" s="170">
        <v>7</v>
      </c>
      <c r="K6" s="170">
        <v>4</v>
      </c>
      <c r="L6" s="170">
        <v>4</v>
      </c>
      <c r="M6" s="170">
        <v>1</v>
      </c>
      <c r="N6" s="170">
        <v>1</v>
      </c>
      <c r="O6" s="170">
        <v>1</v>
      </c>
      <c r="P6" s="170">
        <v>1</v>
      </c>
      <c r="Q6" s="170">
        <v>1</v>
      </c>
      <c r="R6" s="170">
        <v>7</v>
      </c>
      <c r="S6" s="170">
        <v>1</v>
      </c>
      <c r="T6" s="170">
        <v>4</v>
      </c>
      <c r="U6" s="170">
        <v>7</v>
      </c>
      <c r="V6" s="170">
        <v>4</v>
      </c>
      <c r="W6" s="170">
        <v>4</v>
      </c>
      <c r="X6" s="170">
        <v>5</v>
      </c>
      <c r="Y6" s="171"/>
      <c r="Z6" s="170">
        <v>2</v>
      </c>
      <c r="AA6" s="170">
        <v>2</v>
      </c>
      <c r="AB6" s="170">
        <v>2</v>
      </c>
      <c r="AC6" s="170">
        <v>8</v>
      </c>
      <c r="AD6" s="170">
        <v>1</v>
      </c>
      <c r="AE6" s="170">
        <v>1</v>
      </c>
      <c r="AF6" s="170">
        <v>2</v>
      </c>
      <c r="AG6" s="170">
        <v>5</v>
      </c>
      <c r="AH6" s="170">
        <v>5</v>
      </c>
      <c r="AI6" s="170">
        <v>1</v>
      </c>
      <c r="AJ6" s="170">
        <v>5</v>
      </c>
      <c r="AK6" s="170">
        <v>8</v>
      </c>
      <c r="AL6" s="170">
        <v>8</v>
      </c>
      <c r="AM6" s="170">
        <v>8</v>
      </c>
      <c r="AN6" s="170">
        <v>2</v>
      </c>
      <c r="AO6" s="170">
        <v>2</v>
      </c>
      <c r="AP6" s="170">
        <v>2</v>
      </c>
      <c r="AQ6" s="170">
        <v>2</v>
      </c>
      <c r="AR6" s="170"/>
      <c r="AS6" s="170"/>
      <c r="AT6" s="170">
        <v>9</v>
      </c>
      <c r="AU6" s="170">
        <v>3</v>
      </c>
      <c r="AV6" s="170">
        <v>6</v>
      </c>
      <c r="AW6" s="170">
        <v>6</v>
      </c>
      <c r="AX6" s="170">
        <v>9</v>
      </c>
      <c r="AY6" s="170">
        <v>3</v>
      </c>
      <c r="AZ6" s="170">
        <v>6</v>
      </c>
      <c r="BA6" s="170">
        <v>6</v>
      </c>
      <c r="BB6" s="170">
        <v>6</v>
      </c>
      <c r="BC6" s="170">
        <v>9</v>
      </c>
      <c r="BD6" s="170">
        <v>9</v>
      </c>
      <c r="BE6" s="170">
        <v>3</v>
      </c>
      <c r="BF6" s="170">
        <v>3</v>
      </c>
      <c r="BG6" s="170">
        <v>3</v>
      </c>
      <c r="BH6" s="170">
        <v>3</v>
      </c>
      <c r="BI6" s="170">
        <v>3</v>
      </c>
      <c r="BJ6" s="170">
        <v>3</v>
      </c>
      <c r="BK6" s="170"/>
      <c r="BL6" s="170">
        <v>99</v>
      </c>
    </row>
    <row r="7" spans="1:65">
      <c r="A7" s="169" t="s">
        <v>232</v>
      </c>
      <c r="B7" s="169" t="s">
        <v>232</v>
      </c>
      <c r="C7" s="169" t="s">
        <v>232</v>
      </c>
      <c r="D7" s="169" t="s">
        <v>232</v>
      </c>
      <c r="E7" s="169" t="s">
        <v>232</v>
      </c>
      <c r="F7" s="169" t="s">
        <v>232</v>
      </c>
      <c r="G7" s="169" t="s">
        <v>232</v>
      </c>
      <c r="H7" s="169" t="s">
        <v>232</v>
      </c>
      <c r="I7" s="169" t="s">
        <v>232</v>
      </c>
      <c r="J7" s="169" t="s">
        <v>232</v>
      </c>
      <c r="K7" s="169" t="s">
        <v>232</v>
      </c>
      <c r="L7" s="169" t="s">
        <v>232</v>
      </c>
      <c r="M7" s="169" t="s">
        <v>232</v>
      </c>
      <c r="N7" s="169" t="s">
        <v>232</v>
      </c>
      <c r="O7" s="169" t="s">
        <v>232</v>
      </c>
      <c r="P7" s="169" t="s">
        <v>232</v>
      </c>
      <c r="Q7" s="169" t="s">
        <v>232</v>
      </c>
      <c r="R7" s="169" t="s">
        <v>232</v>
      </c>
      <c r="S7" s="169" t="s">
        <v>232</v>
      </c>
      <c r="T7" s="169" t="s">
        <v>232</v>
      </c>
      <c r="U7" s="169" t="s">
        <v>232</v>
      </c>
      <c r="V7" s="169" t="s">
        <v>232</v>
      </c>
      <c r="W7" s="169" t="s">
        <v>232</v>
      </c>
      <c r="X7" s="169" t="s">
        <v>232</v>
      </c>
      <c r="Y7" s="169" t="s">
        <v>232</v>
      </c>
      <c r="Z7" s="169" t="s">
        <v>232</v>
      </c>
      <c r="AA7" s="169" t="s">
        <v>232</v>
      </c>
      <c r="AB7" s="169" t="s">
        <v>232</v>
      </c>
      <c r="AC7" s="169" t="s">
        <v>232</v>
      </c>
      <c r="AD7" s="169" t="s">
        <v>232</v>
      </c>
      <c r="AE7" s="169" t="s">
        <v>232</v>
      </c>
      <c r="AF7" s="169" t="s">
        <v>232</v>
      </c>
      <c r="AG7" s="169" t="s">
        <v>232</v>
      </c>
      <c r="AH7" s="169" t="s">
        <v>232</v>
      </c>
      <c r="AI7" s="169" t="s">
        <v>232</v>
      </c>
      <c r="AJ7" s="169" t="s">
        <v>232</v>
      </c>
      <c r="AK7" s="169" t="s">
        <v>232</v>
      </c>
      <c r="AL7" s="169" t="s">
        <v>232</v>
      </c>
      <c r="AM7" s="169" t="s">
        <v>232</v>
      </c>
      <c r="AN7" s="169" t="s">
        <v>232</v>
      </c>
      <c r="AO7" s="169" t="s">
        <v>232</v>
      </c>
      <c r="AP7" s="169" t="s">
        <v>232</v>
      </c>
      <c r="AQ7" s="169" t="s">
        <v>232</v>
      </c>
      <c r="AR7" s="169" t="s">
        <v>232</v>
      </c>
      <c r="AS7" s="169" t="s">
        <v>232</v>
      </c>
      <c r="AT7" s="169" t="s">
        <v>232</v>
      </c>
      <c r="AU7" s="169" t="s">
        <v>232</v>
      </c>
      <c r="AV7" s="169" t="s">
        <v>232</v>
      </c>
      <c r="AW7" s="169" t="s">
        <v>232</v>
      </c>
      <c r="AX7" s="169" t="s">
        <v>232</v>
      </c>
      <c r="AY7" s="169" t="s">
        <v>232</v>
      </c>
      <c r="AZ7" s="169" t="s">
        <v>232</v>
      </c>
      <c r="BA7" s="169" t="s">
        <v>232</v>
      </c>
      <c r="BB7" s="169" t="s">
        <v>232</v>
      </c>
      <c r="BC7" s="169" t="s">
        <v>232</v>
      </c>
      <c r="BD7" s="169" t="s">
        <v>232</v>
      </c>
      <c r="BE7" s="169" t="s">
        <v>232</v>
      </c>
      <c r="BF7" s="169" t="s">
        <v>232</v>
      </c>
      <c r="BG7" s="169" t="s">
        <v>232</v>
      </c>
      <c r="BH7" s="169" t="s">
        <v>232</v>
      </c>
      <c r="BI7" s="169" t="s">
        <v>232</v>
      </c>
      <c r="BJ7" s="169" t="s">
        <v>232</v>
      </c>
      <c r="BK7" s="169" t="s">
        <v>232</v>
      </c>
      <c r="BL7" s="169" t="s">
        <v>232</v>
      </c>
    </row>
    <row r="8" spans="1:65">
      <c r="A8" s="170" t="s">
        <v>244</v>
      </c>
      <c r="B8" s="170" t="s">
        <v>249</v>
      </c>
      <c r="C8" s="170" t="s">
        <v>244</v>
      </c>
      <c r="D8" s="170" t="s">
        <v>244</v>
      </c>
      <c r="E8" s="170" t="s">
        <v>249</v>
      </c>
      <c r="F8" s="170" t="s">
        <v>249</v>
      </c>
      <c r="G8" s="170" t="s">
        <v>244</v>
      </c>
      <c r="H8" s="170" t="s">
        <v>249</v>
      </c>
      <c r="I8" s="170" t="s">
        <v>249</v>
      </c>
      <c r="J8" s="170" t="s">
        <v>249</v>
      </c>
      <c r="K8" s="170" t="s">
        <v>249</v>
      </c>
      <c r="L8" s="170" t="s">
        <v>249</v>
      </c>
      <c r="M8" s="170" t="s">
        <v>248</v>
      </c>
      <c r="N8" s="170" t="s">
        <v>248</v>
      </c>
      <c r="O8" s="170" t="s">
        <v>249</v>
      </c>
      <c r="P8" s="170" t="s">
        <v>254</v>
      </c>
      <c r="Q8" s="170" t="s">
        <v>254</v>
      </c>
      <c r="R8" s="170" t="s">
        <v>249</v>
      </c>
      <c r="S8" s="170" t="s">
        <v>249</v>
      </c>
      <c r="T8" s="170" t="s">
        <v>249</v>
      </c>
      <c r="U8" s="170" t="s">
        <v>249</v>
      </c>
      <c r="V8" s="170" t="s">
        <v>249</v>
      </c>
      <c r="W8" s="170" t="s">
        <v>254</v>
      </c>
      <c r="X8" s="170" t="s">
        <v>249</v>
      </c>
      <c r="Y8" s="170"/>
      <c r="Z8" s="170" t="s">
        <v>248</v>
      </c>
      <c r="AA8" s="170" t="s">
        <v>248</v>
      </c>
      <c r="AB8" s="170" t="s">
        <v>249</v>
      </c>
      <c r="AC8" s="170" t="s">
        <v>248</v>
      </c>
      <c r="AD8" s="170" t="s">
        <v>254</v>
      </c>
      <c r="AE8" s="170" t="s">
        <v>254</v>
      </c>
      <c r="AF8" s="170" t="s">
        <v>244</v>
      </c>
      <c r="AG8" s="170" t="s">
        <v>248</v>
      </c>
      <c r="AH8" s="170" t="s">
        <v>249</v>
      </c>
      <c r="AI8" s="170" t="s">
        <v>254</v>
      </c>
      <c r="AJ8" s="170" t="s">
        <v>249</v>
      </c>
      <c r="AK8" s="170" t="s">
        <v>249</v>
      </c>
      <c r="AL8" s="170" t="s">
        <v>249</v>
      </c>
      <c r="AM8" s="170" t="s">
        <v>254</v>
      </c>
      <c r="AN8" s="170" t="s">
        <v>254</v>
      </c>
      <c r="AO8" s="170" t="s">
        <v>249</v>
      </c>
      <c r="AP8" s="170" t="s">
        <v>249</v>
      </c>
      <c r="AQ8" s="170" t="s">
        <v>249</v>
      </c>
      <c r="AR8" s="170"/>
      <c r="AS8" s="170"/>
      <c r="AT8" s="170" t="s">
        <v>249</v>
      </c>
      <c r="AU8" s="170" t="s">
        <v>244</v>
      </c>
      <c r="AV8" s="170" t="s">
        <v>249</v>
      </c>
      <c r="AW8" s="170" t="s">
        <v>248</v>
      </c>
      <c r="AX8" s="170" t="s">
        <v>248</v>
      </c>
      <c r="AY8" s="170" t="s">
        <v>248</v>
      </c>
      <c r="AZ8" s="170" t="s">
        <v>254</v>
      </c>
      <c r="BA8" s="170" t="s">
        <v>249</v>
      </c>
      <c r="BB8" s="170" t="s">
        <v>249</v>
      </c>
      <c r="BC8" s="170" t="s">
        <v>254</v>
      </c>
      <c r="BD8" s="170" t="s">
        <v>249</v>
      </c>
      <c r="BE8" s="170" t="s">
        <v>248</v>
      </c>
      <c r="BF8" s="170" t="s">
        <v>249</v>
      </c>
      <c r="BG8" s="170" t="s">
        <v>254</v>
      </c>
      <c r="BH8" s="170" t="s">
        <v>249</v>
      </c>
      <c r="BI8" s="170" t="s">
        <v>249</v>
      </c>
      <c r="BJ8" s="170" t="s">
        <v>249</v>
      </c>
      <c r="BK8" s="170"/>
      <c r="BL8" s="170" t="s">
        <v>254</v>
      </c>
    </row>
    <row r="9" spans="1:65">
      <c r="A9" s="169" t="s">
        <v>649</v>
      </c>
      <c r="B9" s="169" t="s">
        <v>649</v>
      </c>
      <c r="C9" s="169" t="s">
        <v>649</v>
      </c>
      <c r="D9" s="169" t="s">
        <v>649</v>
      </c>
      <c r="E9" s="169" t="s">
        <v>649</v>
      </c>
      <c r="F9" s="169" t="s">
        <v>649</v>
      </c>
      <c r="G9" s="169" t="s">
        <v>649</v>
      </c>
      <c r="H9" s="169" t="s">
        <v>649</v>
      </c>
      <c r="I9" s="169" t="s">
        <v>649</v>
      </c>
      <c r="J9" s="169" t="s">
        <v>649</v>
      </c>
      <c r="K9" s="169" t="s">
        <v>649</v>
      </c>
      <c r="L9" s="169" t="s">
        <v>649</v>
      </c>
      <c r="M9" s="169" t="s">
        <v>649</v>
      </c>
      <c r="N9" s="169" t="s">
        <v>649</v>
      </c>
      <c r="O9" s="169" t="s">
        <v>649</v>
      </c>
      <c r="P9" s="169" t="s">
        <v>649</v>
      </c>
      <c r="Q9" s="169" t="s">
        <v>649</v>
      </c>
      <c r="R9" s="169" t="s">
        <v>649</v>
      </c>
      <c r="S9" s="169" t="s">
        <v>649</v>
      </c>
      <c r="T9" s="169" t="s">
        <v>649</v>
      </c>
      <c r="U9" s="169" t="s">
        <v>649</v>
      </c>
      <c r="V9" s="169" t="s">
        <v>649</v>
      </c>
      <c r="W9" s="169" t="s">
        <v>649</v>
      </c>
      <c r="X9" s="169" t="s">
        <v>649</v>
      </c>
      <c r="Y9" s="169" t="s">
        <v>649</v>
      </c>
      <c r="Z9" s="169" t="s">
        <v>649</v>
      </c>
      <c r="AA9" s="169" t="s">
        <v>649</v>
      </c>
      <c r="AB9" s="169" t="s">
        <v>649</v>
      </c>
      <c r="AC9" s="169" t="s">
        <v>649</v>
      </c>
      <c r="AD9" s="169" t="s">
        <v>649</v>
      </c>
      <c r="AE9" s="169" t="s">
        <v>649</v>
      </c>
      <c r="AF9" s="169" t="s">
        <v>649</v>
      </c>
      <c r="AG9" s="169" t="s">
        <v>649</v>
      </c>
      <c r="AH9" s="169" t="s">
        <v>649</v>
      </c>
      <c r="AI9" s="169" t="s">
        <v>649</v>
      </c>
      <c r="AJ9" s="169" t="s">
        <v>649</v>
      </c>
      <c r="AK9" s="169" t="s">
        <v>649</v>
      </c>
      <c r="AL9" s="169" t="s">
        <v>649</v>
      </c>
      <c r="AM9" s="169" t="s">
        <v>649</v>
      </c>
      <c r="AN9" s="169" t="s">
        <v>649</v>
      </c>
      <c r="AO9" s="169" t="s">
        <v>649</v>
      </c>
      <c r="AP9" s="169" t="s">
        <v>649</v>
      </c>
      <c r="AQ9" s="169" t="s">
        <v>649</v>
      </c>
      <c r="AR9" s="169" t="s">
        <v>649</v>
      </c>
      <c r="AS9" s="169" t="s">
        <v>649</v>
      </c>
      <c r="AT9" s="169" t="s">
        <v>649</v>
      </c>
      <c r="AU9" s="169" t="s">
        <v>649</v>
      </c>
      <c r="AV9" s="169" t="s">
        <v>649</v>
      </c>
      <c r="AW9" s="169" t="s">
        <v>649</v>
      </c>
      <c r="AX9" s="169" t="s">
        <v>649</v>
      </c>
      <c r="AY9" s="169" t="s">
        <v>649</v>
      </c>
      <c r="AZ9" s="169" t="s">
        <v>649</v>
      </c>
      <c r="BA9" s="169" t="s">
        <v>649</v>
      </c>
      <c r="BB9" s="169" t="s">
        <v>649</v>
      </c>
      <c r="BC9" s="169" t="s">
        <v>649</v>
      </c>
      <c r="BD9" s="169" t="s">
        <v>649</v>
      </c>
      <c r="BE9" s="169" t="s">
        <v>649</v>
      </c>
      <c r="BF9" s="169" t="s">
        <v>649</v>
      </c>
      <c r="BG9" s="169" t="s">
        <v>649</v>
      </c>
      <c r="BH9" s="169" t="s">
        <v>649</v>
      </c>
      <c r="BI9" s="169" t="s">
        <v>649</v>
      </c>
      <c r="BJ9" s="169" t="s">
        <v>649</v>
      </c>
      <c r="BK9" s="169" t="s">
        <v>649</v>
      </c>
      <c r="BL9" s="169" t="s">
        <v>649</v>
      </c>
    </row>
    <row r="10" spans="1:65">
      <c r="A10" s="175">
        <v>45405</v>
      </c>
      <c r="B10" s="175">
        <v>45405</v>
      </c>
      <c r="C10" s="175">
        <v>45405</v>
      </c>
      <c r="D10" s="175">
        <v>45405</v>
      </c>
      <c r="E10" s="175">
        <v>45405</v>
      </c>
      <c r="F10" s="175">
        <v>45405</v>
      </c>
      <c r="G10" s="175">
        <v>45405</v>
      </c>
      <c r="H10" s="175">
        <v>45405</v>
      </c>
      <c r="I10" s="175">
        <v>45405</v>
      </c>
      <c r="J10" s="175">
        <v>45405</v>
      </c>
      <c r="K10" s="175">
        <v>45405</v>
      </c>
      <c r="L10" s="175">
        <v>45405</v>
      </c>
      <c r="M10" s="175">
        <v>45405</v>
      </c>
      <c r="N10" s="175">
        <v>45405</v>
      </c>
      <c r="O10" s="175">
        <v>45405</v>
      </c>
      <c r="P10" s="175">
        <v>45405</v>
      </c>
      <c r="Q10" s="175">
        <v>45405</v>
      </c>
      <c r="R10" s="175">
        <v>45405</v>
      </c>
      <c r="S10" s="175">
        <v>45405</v>
      </c>
      <c r="T10" s="175">
        <v>45405</v>
      </c>
      <c r="U10" s="175">
        <v>45405</v>
      </c>
      <c r="V10" s="175">
        <v>45405</v>
      </c>
      <c r="W10" s="175">
        <v>45405</v>
      </c>
      <c r="X10" s="175">
        <v>45405</v>
      </c>
      <c r="Y10" s="174">
        <v>45405</v>
      </c>
      <c r="Z10" s="175">
        <v>45405</v>
      </c>
      <c r="AA10" s="175">
        <v>45405</v>
      </c>
      <c r="AB10" s="175">
        <v>45405</v>
      </c>
      <c r="AC10" s="175">
        <v>45405</v>
      </c>
      <c r="AD10" s="175">
        <v>45405</v>
      </c>
      <c r="AE10" s="175">
        <v>45405</v>
      </c>
      <c r="AF10" s="175">
        <v>45405</v>
      </c>
      <c r="AG10" s="175">
        <v>45405</v>
      </c>
      <c r="AH10" s="175">
        <v>45405</v>
      </c>
      <c r="AI10" s="175">
        <v>45405</v>
      </c>
      <c r="AJ10" s="175">
        <v>45405</v>
      </c>
      <c r="AK10" s="175">
        <v>45405</v>
      </c>
      <c r="AL10" s="175">
        <v>45405</v>
      </c>
      <c r="AM10" s="175">
        <v>45405</v>
      </c>
      <c r="AN10" s="175">
        <v>45405</v>
      </c>
      <c r="AO10" s="175">
        <v>45405</v>
      </c>
      <c r="AP10" s="175">
        <v>45405</v>
      </c>
      <c r="AQ10" s="175">
        <v>45405</v>
      </c>
      <c r="AR10" s="174">
        <v>45405</v>
      </c>
      <c r="AS10" s="174">
        <v>45405</v>
      </c>
      <c r="AT10" s="175">
        <v>45406</v>
      </c>
      <c r="AU10" s="175">
        <v>45406</v>
      </c>
      <c r="AV10" s="175">
        <v>45406</v>
      </c>
      <c r="AW10" s="175">
        <v>45406</v>
      </c>
      <c r="AX10" s="175">
        <v>45406</v>
      </c>
      <c r="AY10" s="175">
        <v>45406</v>
      </c>
      <c r="AZ10" s="175">
        <v>45406</v>
      </c>
      <c r="BA10" s="175">
        <v>45406</v>
      </c>
      <c r="BB10" s="175">
        <v>45406</v>
      </c>
      <c r="BC10" s="175">
        <v>45406</v>
      </c>
      <c r="BD10" s="175">
        <v>45406</v>
      </c>
      <c r="BE10" s="175">
        <v>45406</v>
      </c>
      <c r="BF10" s="175">
        <v>45406</v>
      </c>
      <c r="BG10" s="175">
        <v>45406</v>
      </c>
      <c r="BH10" s="175">
        <v>45406</v>
      </c>
      <c r="BI10" s="175">
        <v>45406</v>
      </c>
      <c r="BJ10" s="175">
        <v>45406</v>
      </c>
      <c r="BK10" s="174">
        <v>45406</v>
      </c>
      <c r="BL10" s="175">
        <v>45406</v>
      </c>
      <c r="BM10" s="6">
        <v>45406</v>
      </c>
    </row>
    <row r="11" spans="1:65">
      <c r="A11" s="169" t="s">
        <v>234</v>
      </c>
      <c r="B11" s="169" t="s">
        <v>234</v>
      </c>
      <c r="C11" s="169" t="s">
        <v>234</v>
      </c>
      <c r="D11" s="169" t="s">
        <v>234</v>
      </c>
      <c r="E11" s="169" t="s">
        <v>234</v>
      </c>
      <c r="F11" s="169" t="s">
        <v>234</v>
      </c>
      <c r="G11" s="169" t="s">
        <v>234</v>
      </c>
      <c r="H11" s="169" t="s">
        <v>234</v>
      </c>
      <c r="I11" s="169" t="s">
        <v>234</v>
      </c>
      <c r="J11" s="169" t="s">
        <v>234</v>
      </c>
      <c r="K11" s="169" t="s">
        <v>234</v>
      </c>
      <c r="L11" s="169" t="s">
        <v>234</v>
      </c>
      <c r="M11" s="169" t="s">
        <v>234</v>
      </c>
      <c r="N11" s="169" t="s">
        <v>234</v>
      </c>
      <c r="O11" s="169" t="s">
        <v>234</v>
      </c>
      <c r="P11" s="169" t="s">
        <v>234</v>
      </c>
      <c r="Q11" s="169" t="s">
        <v>234</v>
      </c>
      <c r="R11" s="169" t="s">
        <v>234</v>
      </c>
      <c r="S11" s="169" t="s">
        <v>234</v>
      </c>
      <c r="T11" s="169" t="s">
        <v>234</v>
      </c>
      <c r="U11" s="169" t="s">
        <v>234</v>
      </c>
      <c r="V11" s="169" t="s">
        <v>234</v>
      </c>
      <c r="W11" s="169" t="s">
        <v>234</v>
      </c>
      <c r="X11" s="169" t="s">
        <v>234</v>
      </c>
      <c r="Y11" s="169" t="s">
        <v>234</v>
      </c>
      <c r="Z11" s="169" t="s">
        <v>234</v>
      </c>
      <c r="AA11" s="169" t="s">
        <v>234</v>
      </c>
      <c r="AB11" s="169" t="s">
        <v>234</v>
      </c>
      <c r="AC11" s="169" t="s">
        <v>234</v>
      </c>
      <c r="AD11" s="169" t="s">
        <v>234</v>
      </c>
      <c r="AE11" s="169" t="s">
        <v>234</v>
      </c>
      <c r="AF11" s="169" t="s">
        <v>234</v>
      </c>
      <c r="AG11" s="169" t="s">
        <v>234</v>
      </c>
      <c r="AH11" s="169" t="s">
        <v>234</v>
      </c>
      <c r="AI11" s="169" t="s">
        <v>234</v>
      </c>
      <c r="AJ11" s="169" t="s">
        <v>234</v>
      </c>
      <c r="AK11" s="169" t="s">
        <v>234</v>
      </c>
      <c r="AL11" s="169" t="s">
        <v>234</v>
      </c>
      <c r="AM11" s="169" t="s">
        <v>234</v>
      </c>
      <c r="AN11" s="169" t="s">
        <v>234</v>
      </c>
      <c r="AO11" s="169" t="s">
        <v>234</v>
      </c>
      <c r="AP11" s="169" t="s">
        <v>234</v>
      </c>
      <c r="AQ11" s="169" t="s">
        <v>234</v>
      </c>
      <c r="AR11" s="169" t="s">
        <v>234</v>
      </c>
      <c r="AS11" s="169" t="s">
        <v>234</v>
      </c>
      <c r="AT11" s="169" t="s">
        <v>234</v>
      </c>
      <c r="AU11" s="169" t="s">
        <v>234</v>
      </c>
      <c r="AV11" s="169" t="s">
        <v>234</v>
      </c>
      <c r="AW11" s="169" t="s">
        <v>234</v>
      </c>
      <c r="AX11" s="169" t="s">
        <v>234</v>
      </c>
      <c r="AY11" s="169" t="s">
        <v>234</v>
      </c>
      <c r="AZ11" s="169" t="s">
        <v>234</v>
      </c>
      <c r="BA11" s="169" t="s">
        <v>234</v>
      </c>
      <c r="BB11" s="169" t="s">
        <v>234</v>
      </c>
      <c r="BC11" s="169" t="s">
        <v>234</v>
      </c>
      <c r="BD11" s="169" t="s">
        <v>234</v>
      </c>
      <c r="BE11" s="169" t="s">
        <v>234</v>
      </c>
      <c r="BF11" s="169" t="s">
        <v>234</v>
      </c>
      <c r="BG11" s="169" t="s">
        <v>234</v>
      </c>
      <c r="BH11" s="169" t="s">
        <v>234</v>
      </c>
      <c r="BI11" s="169" t="s">
        <v>234</v>
      </c>
      <c r="BJ11" s="169" t="s">
        <v>234</v>
      </c>
      <c r="BK11" s="169" t="s">
        <v>234</v>
      </c>
      <c r="BL11" s="169" t="s">
        <v>234</v>
      </c>
    </row>
    <row r="12" spans="1:65" ht="26">
      <c r="A12" s="178" t="s">
        <v>548</v>
      </c>
      <c r="B12" s="178" t="s">
        <v>548</v>
      </c>
      <c r="C12" s="178" t="s">
        <v>548</v>
      </c>
      <c r="D12" s="178" t="s">
        <v>548</v>
      </c>
      <c r="E12" s="178" t="s">
        <v>548</v>
      </c>
      <c r="F12" s="178" t="s">
        <v>548</v>
      </c>
      <c r="G12" s="178" t="s">
        <v>548</v>
      </c>
      <c r="H12" s="177" t="s">
        <v>551</v>
      </c>
      <c r="I12" s="178" t="s">
        <v>551</v>
      </c>
      <c r="J12" s="177" t="s">
        <v>654</v>
      </c>
      <c r="K12" s="178" t="s">
        <v>654</v>
      </c>
      <c r="L12" s="178" t="s">
        <v>654</v>
      </c>
      <c r="M12" s="178" t="s">
        <v>549</v>
      </c>
      <c r="N12" s="178" t="s">
        <v>664</v>
      </c>
      <c r="O12" s="178" t="s">
        <v>664</v>
      </c>
      <c r="P12" s="177" t="s">
        <v>552</v>
      </c>
      <c r="Q12" s="178" t="s">
        <v>552</v>
      </c>
      <c r="R12" s="178" t="s">
        <v>553</v>
      </c>
      <c r="S12" s="178" t="s">
        <v>553</v>
      </c>
      <c r="T12" s="178" t="s">
        <v>553</v>
      </c>
      <c r="U12" s="178" t="s">
        <v>655</v>
      </c>
      <c r="V12" s="178" t="s">
        <v>655</v>
      </c>
      <c r="W12" s="178" t="s">
        <v>555</v>
      </c>
      <c r="X12" s="178" t="s">
        <v>661</v>
      </c>
      <c r="Y12" s="176" t="s">
        <v>395</v>
      </c>
      <c r="Z12" s="178" t="s">
        <v>652</v>
      </c>
      <c r="AA12" s="178" t="s">
        <v>653</v>
      </c>
      <c r="AB12" s="178" t="s">
        <v>658</v>
      </c>
      <c r="AC12" s="178" t="s">
        <v>556</v>
      </c>
      <c r="AD12" s="178" t="s">
        <v>556</v>
      </c>
      <c r="AE12" s="178" t="s">
        <v>556</v>
      </c>
      <c r="AF12" s="178" t="s">
        <v>556</v>
      </c>
      <c r="AG12" s="178" t="s">
        <v>556</v>
      </c>
      <c r="AH12" s="178" t="s">
        <v>556</v>
      </c>
      <c r="AI12" s="178" t="s">
        <v>556</v>
      </c>
      <c r="AJ12" s="178" t="s">
        <v>662</v>
      </c>
      <c r="AK12" s="178" t="s">
        <v>586</v>
      </c>
      <c r="AL12" s="178" t="s">
        <v>656</v>
      </c>
      <c r="AM12" s="178" t="s">
        <v>557</v>
      </c>
      <c r="AN12" s="178" t="s">
        <v>635</v>
      </c>
      <c r="AO12" s="178" t="s">
        <v>659</v>
      </c>
      <c r="AP12" s="178" t="s">
        <v>659</v>
      </c>
      <c r="AQ12" s="178" t="s">
        <v>659</v>
      </c>
      <c r="AR12" s="176" t="s">
        <v>396</v>
      </c>
      <c r="AS12" s="176" t="s">
        <v>279</v>
      </c>
      <c r="AT12" s="178" t="s">
        <v>545</v>
      </c>
      <c r="AU12" s="178" t="s">
        <v>545</v>
      </c>
      <c r="AV12" s="178" t="s">
        <v>545</v>
      </c>
      <c r="AW12" s="178" t="s">
        <v>582</v>
      </c>
      <c r="AX12" s="178" t="s">
        <v>546</v>
      </c>
      <c r="AY12" s="178" t="s">
        <v>546</v>
      </c>
      <c r="AZ12" s="178" t="s">
        <v>547</v>
      </c>
      <c r="BA12" s="178" t="s">
        <v>663</v>
      </c>
      <c r="BB12" s="178" t="s">
        <v>663</v>
      </c>
      <c r="BC12" s="178" t="s">
        <v>550</v>
      </c>
      <c r="BD12" s="178" t="s">
        <v>657</v>
      </c>
      <c r="BE12" s="177" t="s">
        <v>551</v>
      </c>
      <c r="BF12" s="177" t="s">
        <v>549</v>
      </c>
      <c r="BG12" s="178" t="s">
        <v>549</v>
      </c>
      <c r="BH12" s="178" t="s">
        <v>660</v>
      </c>
      <c r="BI12" s="178" t="s">
        <v>660</v>
      </c>
      <c r="BJ12" s="178" t="s">
        <v>660</v>
      </c>
      <c r="BK12" s="176" t="s">
        <v>395</v>
      </c>
      <c r="BL12" s="178" t="s">
        <v>556</v>
      </c>
      <c r="BM12" s="6" t="s">
        <v>396</v>
      </c>
    </row>
    <row r="13" spans="1:65">
      <c r="A13" s="169" t="s">
        <v>238</v>
      </c>
      <c r="B13" s="169" t="s">
        <v>238</v>
      </c>
      <c r="C13" s="169" t="s">
        <v>238</v>
      </c>
      <c r="D13" s="169" t="s">
        <v>238</v>
      </c>
      <c r="E13" s="169" t="s">
        <v>238</v>
      </c>
      <c r="F13" s="169" t="s">
        <v>238</v>
      </c>
      <c r="G13" s="169" t="s">
        <v>238</v>
      </c>
      <c r="H13" s="169" t="s">
        <v>238</v>
      </c>
      <c r="I13" s="169" t="s">
        <v>238</v>
      </c>
      <c r="J13" s="169" t="s">
        <v>238</v>
      </c>
      <c r="K13" s="169" t="s">
        <v>238</v>
      </c>
      <c r="L13" s="169" t="s">
        <v>238</v>
      </c>
      <c r="M13" s="169" t="s">
        <v>238</v>
      </c>
      <c r="N13" s="169" t="s">
        <v>238</v>
      </c>
      <c r="O13" s="169" t="s">
        <v>238</v>
      </c>
      <c r="P13" s="169" t="s">
        <v>238</v>
      </c>
      <c r="Q13" s="169" t="s">
        <v>238</v>
      </c>
      <c r="R13" s="169" t="s">
        <v>238</v>
      </c>
      <c r="S13" s="169" t="s">
        <v>238</v>
      </c>
      <c r="T13" s="169" t="s">
        <v>238</v>
      </c>
      <c r="U13" s="169" t="s">
        <v>238</v>
      </c>
      <c r="V13" s="169" t="s">
        <v>238</v>
      </c>
      <c r="W13" s="169" t="s">
        <v>238</v>
      </c>
      <c r="X13" s="169" t="s">
        <v>238</v>
      </c>
      <c r="Y13" s="169" t="s">
        <v>238</v>
      </c>
      <c r="Z13" s="169" t="s">
        <v>238</v>
      </c>
      <c r="AA13" s="169" t="s">
        <v>238</v>
      </c>
      <c r="AB13" s="169" t="s">
        <v>238</v>
      </c>
      <c r="AC13" s="169" t="s">
        <v>238</v>
      </c>
      <c r="AD13" s="169" t="s">
        <v>238</v>
      </c>
      <c r="AE13" s="169" t="s">
        <v>238</v>
      </c>
      <c r="AF13" s="169" t="s">
        <v>238</v>
      </c>
      <c r="AG13" s="169" t="s">
        <v>238</v>
      </c>
      <c r="AH13" s="169" t="s">
        <v>238</v>
      </c>
      <c r="AI13" s="169" t="s">
        <v>238</v>
      </c>
      <c r="AJ13" s="169" t="s">
        <v>238</v>
      </c>
      <c r="AK13" s="169" t="s">
        <v>238</v>
      </c>
      <c r="AL13" s="169" t="s">
        <v>238</v>
      </c>
      <c r="AM13" s="169" t="s">
        <v>238</v>
      </c>
      <c r="AN13" s="169" t="s">
        <v>238</v>
      </c>
      <c r="AO13" s="169" t="s">
        <v>238</v>
      </c>
      <c r="AP13" s="169" t="s">
        <v>238</v>
      </c>
      <c r="AQ13" s="169" t="s">
        <v>238</v>
      </c>
      <c r="AR13" s="169" t="s">
        <v>238</v>
      </c>
      <c r="AS13" s="169" t="s">
        <v>238</v>
      </c>
      <c r="AT13" s="169" t="s">
        <v>238</v>
      </c>
      <c r="AU13" s="169" t="s">
        <v>238</v>
      </c>
      <c r="AV13" s="169" t="s">
        <v>238</v>
      </c>
      <c r="AW13" s="169" t="s">
        <v>238</v>
      </c>
      <c r="AX13" s="169" t="s">
        <v>238</v>
      </c>
      <c r="AY13" s="169" t="s">
        <v>238</v>
      </c>
      <c r="AZ13" s="169" t="s">
        <v>238</v>
      </c>
      <c r="BA13" s="169" t="s">
        <v>238</v>
      </c>
      <c r="BB13" s="169" t="s">
        <v>238</v>
      </c>
      <c r="BC13" s="169" t="s">
        <v>238</v>
      </c>
      <c r="BD13" s="169" t="s">
        <v>238</v>
      </c>
      <c r="BE13" s="169" t="s">
        <v>238</v>
      </c>
      <c r="BF13" s="169" t="s">
        <v>238</v>
      </c>
      <c r="BG13" s="169" t="s">
        <v>238</v>
      </c>
      <c r="BH13" s="169" t="s">
        <v>238</v>
      </c>
      <c r="BI13" s="169" t="s">
        <v>238</v>
      </c>
      <c r="BJ13" s="169" t="s">
        <v>238</v>
      </c>
      <c r="BK13" s="169" t="s">
        <v>238</v>
      </c>
      <c r="BL13" s="169" t="s">
        <v>238</v>
      </c>
    </row>
    <row r="14" spans="1:65" ht="52">
      <c r="A14" s="170" t="s">
        <v>442</v>
      </c>
      <c r="B14" s="182" t="s">
        <v>267</v>
      </c>
      <c r="C14" s="170" t="s">
        <v>384</v>
      </c>
      <c r="D14" s="170" t="s">
        <v>541</v>
      </c>
      <c r="E14" s="170" t="s">
        <v>584</v>
      </c>
      <c r="F14" s="170" t="s">
        <v>598</v>
      </c>
      <c r="G14" s="170" t="s">
        <v>599</v>
      </c>
      <c r="H14" s="170" t="s">
        <v>618</v>
      </c>
      <c r="I14" s="170" t="s">
        <v>595</v>
      </c>
      <c r="J14" s="170" t="s">
        <v>620</v>
      </c>
      <c r="K14" s="170" t="s">
        <v>388</v>
      </c>
      <c r="L14" s="170" t="s">
        <v>394</v>
      </c>
      <c r="M14" s="170" t="s">
        <v>603</v>
      </c>
      <c r="N14" s="170" t="s">
        <v>603</v>
      </c>
      <c r="O14" s="170" t="s">
        <v>540</v>
      </c>
      <c r="P14" s="170" t="s">
        <v>600</v>
      </c>
      <c r="Q14" s="170" t="s">
        <v>644</v>
      </c>
      <c r="R14" s="182" t="s">
        <v>384</v>
      </c>
      <c r="S14" s="170" t="s">
        <v>585</v>
      </c>
      <c r="T14" s="170" t="s">
        <v>621</v>
      </c>
      <c r="U14" s="170" t="s">
        <v>267</v>
      </c>
      <c r="V14" s="170" t="s">
        <v>601</v>
      </c>
      <c r="W14" s="170" t="s">
        <v>600</v>
      </c>
      <c r="X14" s="170" t="s">
        <v>410</v>
      </c>
      <c r="Y14" s="171"/>
      <c r="Z14" s="182" t="s">
        <v>456</v>
      </c>
      <c r="AA14" s="182" t="s">
        <v>456</v>
      </c>
      <c r="AB14" s="170" t="s">
        <v>540</v>
      </c>
      <c r="AC14" s="170" t="s">
        <v>625</v>
      </c>
      <c r="AD14" s="170" t="s">
        <v>641</v>
      </c>
      <c r="AE14" s="170" t="s">
        <v>403</v>
      </c>
      <c r="AF14" s="170" t="s">
        <v>463</v>
      </c>
      <c r="AG14" s="170" t="s">
        <v>611</v>
      </c>
      <c r="AH14" s="182" t="s">
        <v>410</v>
      </c>
      <c r="AI14" s="170" t="s">
        <v>640</v>
      </c>
      <c r="AJ14" s="170" t="s">
        <v>601</v>
      </c>
      <c r="AK14" s="182" t="s">
        <v>267</v>
      </c>
      <c r="AL14" s="182" t="s">
        <v>267</v>
      </c>
      <c r="AM14" s="170" t="s">
        <v>630</v>
      </c>
      <c r="AN14" s="170" t="s">
        <v>403</v>
      </c>
      <c r="AO14" s="170" t="s">
        <v>540</v>
      </c>
      <c r="AP14" s="170" t="s">
        <v>540</v>
      </c>
      <c r="AQ14" s="170" t="s">
        <v>456</v>
      </c>
      <c r="AR14" s="170"/>
      <c r="AS14" s="170"/>
      <c r="AT14" s="182" t="s">
        <v>543</v>
      </c>
      <c r="AU14" s="170" t="s">
        <v>588</v>
      </c>
      <c r="AV14" s="170" t="s">
        <v>614</v>
      </c>
      <c r="AW14" s="170" t="s">
        <v>616</v>
      </c>
      <c r="AX14" s="170" t="s">
        <v>631</v>
      </c>
      <c r="AY14" s="170" t="s">
        <v>587</v>
      </c>
      <c r="AZ14" s="170" t="s">
        <v>542</v>
      </c>
      <c r="BA14" s="170" t="s">
        <v>540</v>
      </c>
      <c r="BB14" s="170" t="s">
        <v>540</v>
      </c>
      <c r="BC14" s="170" t="s">
        <v>544</v>
      </c>
      <c r="BD14" s="170" t="s">
        <v>633</v>
      </c>
      <c r="BE14" s="170" t="s">
        <v>587</v>
      </c>
      <c r="BF14" s="170" t="s">
        <v>594</v>
      </c>
      <c r="BG14" s="170" t="s">
        <v>403</v>
      </c>
      <c r="BH14" s="170" t="s">
        <v>609</v>
      </c>
      <c r="BI14" s="170" t="s">
        <v>609</v>
      </c>
      <c r="BJ14" s="170" t="s">
        <v>609</v>
      </c>
      <c r="BK14" s="171"/>
      <c r="BL14" s="182" t="s">
        <v>558</v>
      </c>
    </row>
    <row r="15" spans="1:65">
      <c r="A15" s="169" t="s">
        <v>235</v>
      </c>
      <c r="B15" s="169" t="s">
        <v>235</v>
      </c>
      <c r="C15" s="169" t="s">
        <v>235</v>
      </c>
      <c r="D15" s="169" t="s">
        <v>235</v>
      </c>
      <c r="E15" s="169" t="s">
        <v>235</v>
      </c>
      <c r="F15" s="169" t="s">
        <v>235</v>
      </c>
      <c r="G15" s="169" t="s">
        <v>235</v>
      </c>
      <c r="H15" s="169" t="s">
        <v>235</v>
      </c>
      <c r="I15" s="169" t="s">
        <v>235</v>
      </c>
      <c r="J15" s="169" t="s">
        <v>235</v>
      </c>
      <c r="K15" s="169" t="s">
        <v>235</v>
      </c>
      <c r="L15" s="169" t="s">
        <v>235</v>
      </c>
      <c r="M15" s="169" t="s">
        <v>235</v>
      </c>
      <c r="N15" s="169" t="s">
        <v>235</v>
      </c>
      <c r="O15" s="169" t="s">
        <v>235</v>
      </c>
      <c r="P15" s="169" t="s">
        <v>235</v>
      </c>
      <c r="Q15" s="169" t="s">
        <v>235</v>
      </c>
      <c r="R15" s="169" t="s">
        <v>235</v>
      </c>
      <c r="S15" s="169" t="s">
        <v>235</v>
      </c>
      <c r="T15" s="169" t="s">
        <v>235</v>
      </c>
      <c r="U15" s="169" t="s">
        <v>235</v>
      </c>
      <c r="V15" s="169" t="s">
        <v>235</v>
      </c>
      <c r="W15" s="169" t="s">
        <v>235</v>
      </c>
      <c r="X15" s="169" t="s">
        <v>235</v>
      </c>
      <c r="Y15" s="169" t="s">
        <v>235</v>
      </c>
      <c r="Z15" s="169" t="s">
        <v>235</v>
      </c>
      <c r="AA15" s="169" t="s">
        <v>235</v>
      </c>
      <c r="AB15" s="169" t="s">
        <v>235</v>
      </c>
      <c r="AC15" s="169" t="s">
        <v>235</v>
      </c>
      <c r="AD15" s="169" t="s">
        <v>235</v>
      </c>
      <c r="AE15" s="169" t="s">
        <v>235</v>
      </c>
      <c r="AF15" s="169" t="s">
        <v>235</v>
      </c>
      <c r="AG15" s="169" t="s">
        <v>235</v>
      </c>
      <c r="AH15" s="169" t="s">
        <v>235</v>
      </c>
      <c r="AI15" s="169" t="s">
        <v>235</v>
      </c>
      <c r="AJ15" s="169" t="s">
        <v>235</v>
      </c>
      <c r="AK15" s="169" t="s">
        <v>235</v>
      </c>
      <c r="AL15" s="169" t="s">
        <v>235</v>
      </c>
      <c r="AM15" s="169" t="s">
        <v>235</v>
      </c>
      <c r="AN15" s="169" t="s">
        <v>235</v>
      </c>
      <c r="AO15" s="169" t="s">
        <v>235</v>
      </c>
      <c r="AP15" s="169" t="s">
        <v>235</v>
      </c>
      <c r="AQ15" s="169" t="s">
        <v>235</v>
      </c>
      <c r="AR15" s="169" t="s">
        <v>235</v>
      </c>
      <c r="AS15" s="169" t="s">
        <v>235</v>
      </c>
      <c r="AT15" s="169" t="s">
        <v>235</v>
      </c>
      <c r="AU15" s="169" t="s">
        <v>235</v>
      </c>
      <c r="AV15" s="169" t="s">
        <v>235</v>
      </c>
      <c r="AW15" s="169" t="s">
        <v>235</v>
      </c>
      <c r="AX15" s="169" t="s">
        <v>235</v>
      </c>
      <c r="AY15" s="169" t="s">
        <v>235</v>
      </c>
      <c r="AZ15" s="169" t="s">
        <v>235</v>
      </c>
      <c r="BA15" s="169" t="s">
        <v>235</v>
      </c>
      <c r="BB15" s="169" t="s">
        <v>235</v>
      </c>
      <c r="BC15" s="169" t="s">
        <v>235</v>
      </c>
      <c r="BD15" s="169" t="s">
        <v>235</v>
      </c>
      <c r="BE15" s="169" t="s">
        <v>235</v>
      </c>
      <c r="BF15" s="169" t="s">
        <v>235</v>
      </c>
      <c r="BG15" s="169" t="s">
        <v>235</v>
      </c>
      <c r="BH15" s="169" t="s">
        <v>235</v>
      </c>
      <c r="BI15" s="169" t="s">
        <v>235</v>
      </c>
      <c r="BJ15" s="169" t="s">
        <v>235</v>
      </c>
      <c r="BK15" s="169" t="s">
        <v>235</v>
      </c>
      <c r="BL15" s="169" t="s">
        <v>235</v>
      </c>
    </row>
    <row r="16" spans="1:65" s="168" customFormat="1" ht="262.5" customHeight="1">
      <c r="A16" s="181" t="s">
        <v>536</v>
      </c>
      <c r="B16" s="181" t="s">
        <v>537</v>
      </c>
      <c r="C16" s="180" t="s">
        <v>602</v>
      </c>
      <c r="D16" s="180" t="s">
        <v>602</v>
      </c>
      <c r="E16" s="181" t="s">
        <v>589</v>
      </c>
      <c r="F16" s="181" t="s">
        <v>539</v>
      </c>
      <c r="G16" s="180" t="s">
        <v>602</v>
      </c>
      <c r="H16" s="181" t="s">
        <v>619</v>
      </c>
      <c r="I16" s="181" t="s">
        <v>596</v>
      </c>
      <c r="J16" s="181" t="s">
        <v>622</v>
      </c>
      <c r="K16" s="180" t="s">
        <v>597</v>
      </c>
      <c r="L16" s="180" t="s">
        <v>665</v>
      </c>
      <c r="M16" s="180" t="s">
        <v>604</v>
      </c>
      <c r="N16" s="180" t="s">
        <v>605</v>
      </c>
      <c r="O16" s="180" t="s">
        <v>591</v>
      </c>
      <c r="P16" s="181" t="s">
        <v>636</v>
      </c>
      <c r="Q16" s="180" t="s">
        <v>643</v>
      </c>
      <c r="R16" s="180" t="s">
        <v>623</v>
      </c>
      <c r="S16" s="180" t="s">
        <v>590</v>
      </c>
      <c r="T16" s="181" t="s">
        <v>554</v>
      </c>
      <c r="U16" s="181" t="s">
        <v>624</v>
      </c>
      <c r="V16" s="180" t="s">
        <v>666</v>
      </c>
      <c r="W16" s="181" t="s">
        <v>667</v>
      </c>
      <c r="X16" s="180" t="s">
        <v>612</v>
      </c>
      <c r="Y16" s="179" t="s">
        <v>270</v>
      </c>
      <c r="Z16" s="180" t="s">
        <v>606</v>
      </c>
      <c r="AA16" s="180" t="s">
        <v>607</v>
      </c>
      <c r="AB16" s="180" t="s">
        <v>650</v>
      </c>
      <c r="AC16" s="180" t="s">
        <v>626</v>
      </c>
      <c r="AD16" s="181" t="s">
        <v>639</v>
      </c>
      <c r="AE16" s="181" t="s">
        <v>639</v>
      </c>
      <c r="AF16" s="180" t="s">
        <v>592</v>
      </c>
      <c r="AG16" s="180" t="s">
        <v>668</v>
      </c>
      <c r="AH16" s="180" t="s">
        <v>669</v>
      </c>
      <c r="AI16" s="181" t="s">
        <v>639</v>
      </c>
      <c r="AJ16" s="180" t="s">
        <v>670</v>
      </c>
      <c r="AK16" s="180" t="s">
        <v>627</v>
      </c>
      <c r="AL16" s="180" t="s">
        <v>628</v>
      </c>
      <c r="AM16" s="180" t="s">
        <v>629</v>
      </c>
      <c r="AN16" s="180" t="s">
        <v>634</v>
      </c>
      <c r="AO16" s="180" t="s">
        <v>651</v>
      </c>
      <c r="AP16" s="180" t="s">
        <v>637</v>
      </c>
      <c r="AQ16" s="180" t="s">
        <v>453</v>
      </c>
      <c r="AR16" s="179" t="s">
        <v>257</v>
      </c>
      <c r="AS16" s="179" t="s">
        <v>280</v>
      </c>
      <c r="AT16" s="180" t="s">
        <v>538</v>
      </c>
      <c r="AU16" s="181" t="s">
        <v>593</v>
      </c>
      <c r="AV16" s="181" t="s">
        <v>615</v>
      </c>
      <c r="AW16" s="181" t="s">
        <v>617</v>
      </c>
      <c r="AX16" s="180" t="s">
        <v>645</v>
      </c>
      <c r="AY16" s="181" t="s">
        <v>413</v>
      </c>
      <c r="AZ16" s="181" t="s">
        <v>613</v>
      </c>
      <c r="BA16" s="181" t="s">
        <v>671</v>
      </c>
      <c r="BB16" s="181" t="s">
        <v>672</v>
      </c>
      <c r="BC16" s="180" t="s">
        <v>647</v>
      </c>
      <c r="BD16" s="180" t="s">
        <v>632</v>
      </c>
      <c r="BE16" s="181" t="s">
        <v>608</v>
      </c>
      <c r="BF16" s="181" t="s">
        <v>397</v>
      </c>
      <c r="BG16" s="181" t="s">
        <v>638</v>
      </c>
      <c r="BH16" s="181" t="s">
        <v>610</v>
      </c>
      <c r="BI16" s="180" t="s">
        <v>648</v>
      </c>
      <c r="BJ16" s="181" t="s">
        <v>398</v>
      </c>
      <c r="BK16" s="179" t="s">
        <v>270</v>
      </c>
      <c r="BL16" s="181" t="s">
        <v>646</v>
      </c>
      <c r="BM16" s="168" t="s">
        <v>257</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BD28D-2AEA-47ED-9643-5A333F2BD1A0}">
  <dimension ref="B5:P50"/>
  <sheetViews>
    <sheetView workbookViewId="0"/>
  </sheetViews>
  <sheetFormatPr baseColWidth="10" defaultColWidth="8.5703125" defaultRowHeight="16"/>
  <cols>
    <col min="1" max="2" width="13.7109375" style="1" bestFit="1" customWidth="1"/>
    <col min="3" max="3" width="14.42578125" style="1" bestFit="1" customWidth="1"/>
    <col min="4" max="5" width="22.42578125" style="1" customWidth="1"/>
    <col min="6" max="6" width="24.28515625" style="1" bestFit="1" customWidth="1"/>
    <col min="7" max="7" width="2.5703125" style="1" customWidth="1"/>
    <col min="8" max="12" width="22.42578125" style="1" customWidth="1"/>
    <col min="13" max="13" width="3" style="1" customWidth="1"/>
    <col min="14" max="14" width="12" style="1" customWidth="1"/>
    <col min="15" max="15" width="14.7109375" style="1" bestFit="1" customWidth="1"/>
    <col min="16" max="16" width="11.7109375" style="1" bestFit="1" customWidth="1"/>
    <col min="17" max="16384" width="8.5703125" style="1"/>
  </cols>
  <sheetData>
    <row r="5" spans="2:16">
      <c r="B5" s="373" t="s">
        <v>288</v>
      </c>
      <c r="C5" s="371" t="s">
        <v>289</v>
      </c>
      <c r="D5" s="371"/>
      <c r="E5" s="371"/>
      <c r="F5" s="371"/>
    </row>
    <row r="6" spans="2:16">
      <c r="B6" s="372"/>
      <c r="C6" s="20" t="s">
        <v>202</v>
      </c>
      <c r="D6" s="9" t="s">
        <v>4</v>
      </c>
      <c r="E6" s="9" t="s">
        <v>2</v>
      </c>
      <c r="F6" s="9" t="s">
        <v>3</v>
      </c>
    </row>
    <row r="7" spans="2:16">
      <c r="B7" s="372"/>
      <c r="C7" s="20" t="s">
        <v>203</v>
      </c>
      <c r="D7" s="10">
        <v>4</v>
      </c>
      <c r="E7" s="10">
        <v>5</v>
      </c>
      <c r="F7" s="10">
        <v>14</v>
      </c>
    </row>
    <row r="8" spans="2:16">
      <c r="B8" s="372"/>
      <c r="C8" s="20" t="s">
        <v>204</v>
      </c>
      <c r="D8" s="9" t="s">
        <v>198</v>
      </c>
      <c r="E8" s="9" t="s">
        <v>198</v>
      </c>
      <c r="F8" s="9" t="s">
        <v>198</v>
      </c>
    </row>
    <row r="9" spans="2:16">
      <c r="B9" s="372"/>
      <c r="C9" s="20" t="s">
        <v>205</v>
      </c>
      <c r="D9" s="9">
        <v>1</v>
      </c>
      <c r="E9" s="9">
        <v>1</v>
      </c>
      <c r="F9" s="9">
        <v>2</v>
      </c>
    </row>
    <row r="10" spans="2:16">
      <c r="B10" s="372"/>
      <c r="C10" s="20" t="s">
        <v>206</v>
      </c>
      <c r="D10" s="9" t="s">
        <v>290</v>
      </c>
      <c r="E10" s="9" t="s">
        <v>213</v>
      </c>
      <c r="F10" s="9" t="s">
        <v>220</v>
      </c>
    </row>
    <row r="11" spans="2:16" ht="51">
      <c r="B11" s="372"/>
      <c r="C11" s="20" t="s">
        <v>201</v>
      </c>
      <c r="D11" s="9" t="s">
        <v>291</v>
      </c>
      <c r="E11" s="11" t="s">
        <v>292</v>
      </c>
      <c r="F11" s="11" t="s">
        <v>293</v>
      </c>
    </row>
    <row r="13" spans="2:16">
      <c r="B13" s="372">
        <v>44526</v>
      </c>
      <c r="C13" s="371" t="s">
        <v>289</v>
      </c>
      <c r="D13" s="371"/>
      <c r="E13" s="371"/>
      <c r="F13" s="371"/>
      <c r="H13" s="377" t="s">
        <v>294</v>
      </c>
      <c r="I13" s="377"/>
      <c r="J13" s="377"/>
      <c r="K13" s="377"/>
      <c r="L13" s="377"/>
      <c r="N13" s="370" t="s">
        <v>295</v>
      </c>
      <c r="O13" s="370"/>
      <c r="P13" s="370"/>
    </row>
    <row r="14" spans="2:16">
      <c r="B14" s="372"/>
      <c r="C14" s="20" t="s">
        <v>202</v>
      </c>
      <c r="D14" s="20" t="s">
        <v>2</v>
      </c>
      <c r="E14" s="20" t="s">
        <v>3</v>
      </c>
      <c r="F14" s="20" t="s">
        <v>4</v>
      </c>
      <c r="H14" s="20" t="s">
        <v>2</v>
      </c>
      <c r="I14" s="20" t="s">
        <v>3</v>
      </c>
      <c r="J14" s="20" t="s">
        <v>4</v>
      </c>
      <c r="K14" s="20" t="s">
        <v>2</v>
      </c>
      <c r="L14" s="20" t="s">
        <v>202</v>
      </c>
      <c r="N14" s="20"/>
      <c r="O14" s="20" t="s">
        <v>296</v>
      </c>
      <c r="P14" s="20" t="s">
        <v>297</v>
      </c>
    </row>
    <row r="15" spans="2:16">
      <c r="B15" s="372"/>
      <c r="C15" s="20" t="s">
        <v>203</v>
      </c>
      <c r="D15" s="20">
        <v>1</v>
      </c>
      <c r="E15" s="20">
        <v>12</v>
      </c>
      <c r="F15" s="20">
        <v>15</v>
      </c>
      <c r="H15" s="20">
        <v>1</v>
      </c>
      <c r="I15" s="20">
        <v>12</v>
      </c>
      <c r="J15" s="20">
        <v>15</v>
      </c>
      <c r="K15" s="20">
        <v>8</v>
      </c>
      <c r="L15" s="20" t="s">
        <v>203</v>
      </c>
      <c r="N15" s="20" t="s">
        <v>2</v>
      </c>
      <c r="O15" s="20">
        <v>4</v>
      </c>
      <c r="P15" s="20">
        <v>1</v>
      </c>
    </row>
    <row r="16" spans="2:16">
      <c r="B16" s="372"/>
      <c r="C16" s="20" t="s">
        <v>204</v>
      </c>
      <c r="D16" s="20" t="s">
        <v>214</v>
      </c>
      <c r="E16" s="20" t="s">
        <v>214</v>
      </c>
      <c r="F16" s="20" t="s">
        <v>214</v>
      </c>
      <c r="H16" s="20" t="s">
        <v>214</v>
      </c>
      <c r="I16" s="20" t="s">
        <v>214</v>
      </c>
      <c r="J16" s="20" t="s">
        <v>214</v>
      </c>
      <c r="K16" s="20" t="s">
        <v>214</v>
      </c>
      <c r="L16" s="20" t="s">
        <v>204</v>
      </c>
      <c r="N16" s="20" t="s">
        <v>3</v>
      </c>
      <c r="O16" s="20">
        <v>4</v>
      </c>
      <c r="P16" s="20">
        <v>0</v>
      </c>
    </row>
    <row r="17" spans="2:16">
      <c r="B17" s="372"/>
      <c r="C17" s="20" t="s">
        <v>205</v>
      </c>
      <c r="D17" s="20">
        <v>2</v>
      </c>
      <c r="E17" s="20">
        <v>2</v>
      </c>
      <c r="F17" s="20">
        <v>2</v>
      </c>
      <c r="H17" s="20">
        <v>2</v>
      </c>
      <c r="I17" s="20">
        <v>2</v>
      </c>
      <c r="J17" s="20">
        <v>2</v>
      </c>
      <c r="K17" s="20">
        <v>3</v>
      </c>
      <c r="L17" s="20" t="s">
        <v>205</v>
      </c>
      <c r="N17" s="20" t="s">
        <v>4</v>
      </c>
      <c r="O17" s="20">
        <v>3</v>
      </c>
      <c r="P17" s="20">
        <v>1</v>
      </c>
    </row>
    <row r="18" spans="2:16">
      <c r="B18" s="372"/>
      <c r="C18" s="20" t="s">
        <v>206</v>
      </c>
      <c r="D18" s="20" t="s">
        <v>215</v>
      </c>
      <c r="E18" s="20" t="s">
        <v>215</v>
      </c>
      <c r="F18" s="20" t="s">
        <v>217</v>
      </c>
      <c r="H18" s="20" t="s">
        <v>215</v>
      </c>
      <c r="I18" s="20" t="s">
        <v>215</v>
      </c>
      <c r="J18" s="20" t="s">
        <v>217</v>
      </c>
      <c r="K18" s="20" t="s">
        <v>298</v>
      </c>
      <c r="L18" s="20" t="s">
        <v>206</v>
      </c>
      <c r="N18" s="20" t="s">
        <v>42</v>
      </c>
      <c r="O18" s="20">
        <v>2</v>
      </c>
      <c r="P18" s="20">
        <v>0</v>
      </c>
    </row>
    <row r="19" spans="2:16">
      <c r="B19" s="372"/>
      <c r="C19" s="20" t="s">
        <v>201</v>
      </c>
      <c r="D19" s="20" t="s">
        <v>299</v>
      </c>
      <c r="E19" s="20" t="s">
        <v>300</v>
      </c>
      <c r="F19" s="20" t="s">
        <v>300</v>
      </c>
      <c r="H19" s="20" t="s">
        <v>299</v>
      </c>
      <c r="I19" s="20" t="s">
        <v>300</v>
      </c>
      <c r="J19" s="20" t="s">
        <v>300</v>
      </c>
      <c r="K19" s="20" t="s">
        <v>300</v>
      </c>
      <c r="L19" s="20" t="s">
        <v>201</v>
      </c>
    </row>
    <row r="22" spans="2:16">
      <c r="B22" s="372">
        <v>44529</v>
      </c>
      <c r="C22" s="377" t="s">
        <v>301</v>
      </c>
      <c r="D22" s="377"/>
      <c r="E22" s="377"/>
      <c r="F22" s="377"/>
      <c r="H22" s="377" t="s">
        <v>294</v>
      </c>
      <c r="I22" s="377"/>
      <c r="J22" s="377"/>
      <c r="K22" s="377"/>
      <c r="L22" s="377"/>
    </row>
    <row r="23" spans="2:16">
      <c r="B23" s="372"/>
      <c r="C23" s="20" t="s">
        <v>202</v>
      </c>
      <c r="D23" s="5" t="s">
        <v>4</v>
      </c>
      <c r="E23" s="20" t="s">
        <v>200</v>
      </c>
      <c r="F23" s="5" t="s">
        <v>2</v>
      </c>
      <c r="H23" s="20" t="s">
        <v>200</v>
      </c>
      <c r="I23" s="5" t="s">
        <v>2</v>
      </c>
      <c r="J23" s="20" t="s">
        <v>3</v>
      </c>
      <c r="K23" s="20"/>
      <c r="L23" s="20" t="s">
        <v>202</v>
      </c>
    </row>
    <row r="24" spans="2:16">
      <c r="B24" s="372"/>
      <c r="C24" s="20" t="s">
        <v>203</v>
      </c>
      <c r="D24" s="5">
        <v>17</v>
      </c>
      <c r="E24" s="20">
        <v>7</v>
      </c>
      <c r="F24" s="5">
        <v>6</v>
      </c>
      <c r="H24" s="20">
        <v>7</v>
      </c>
      <c r="I24" s="5">
        <v>6</v>
      </c>
      <c r="J24" s="20">
        <v>10</v>
      </c>
      <c r="K24" s="20"/>
      <c r="L24" s="20" t="s">
        <v>203</v>
      </c>
    </row>
    <row r="25" spans="2:16">
      <c r="B25" s="372"/>
      <c r="C25" s="20" t="s">
        <v>204</v>
      </c>
      <c r="D25" s="8" t="s">
        <v>198</v>
      </c>
      <c r="E25" s="20" t="s">
        <v>216</v>
      </c>
      <c r="F25" s="8" t="s">
        <v>214</v>
      </c>
      <c r="H25" s="20" t="s">
        <v>216</v>
      </c>
      <c r="I25" s="8" t="s">
        <v>214</v>
      </c>
      <c r="J25" s="20" t="s">
        <v>216</v>
      </c>
      <c r="K25" s="20"/>
      <c r="L25" s="20" t="s">
        <v>204</v>
      </c>
    </row>
    <row r="26" spans="2:16">
      <c r="B26" s="372"/>
      <c r="C26" s="20" t="s">
        <v>205</v>
      </c>
      <c r="D26" s="5">
        <v>3</v>
      </c>
      <c r="E26" s="20">
        <v>3</v>
      </c>
      <c r="F26" s="5">
        <v>3</v>
      </c>
      <c r="H26" s="20">
        <v>3</v>
      </c>
      <c r="I26" s="5">
        <v>3</v>
      </c>
      <c r="J26" s="20">
        <v>3</v>
      </c>
      <c r="K26" s="20"/>
      <c r="L26" s="20" t="s">
        <v>205</v>
      </c>
    </row>
    <row r="27" spans="2:16">
      <c r="B27" s="372"/>
      <c r="C27" s="20" t="s">
        <v>206</v>
      </c>
      <c r="D27" s="5" t="s">
        <v>219</v>
      </c>
      <c r="E27" s="20" t="s">
        <v>218</v>
      </c>
      <c r="F27" s="5" t="s">
        <v>218</v>
      </c>
      <c r="H27" s="20" t="s">
        <v>218</v>
      </c>
      <c r="I27" s="5" t="s">
        <v>218</v>
      </c>
      <c r="J27" s="20" t="s">
        <v>219</v>
      </c>
      <c r="K27" s="20"/>
      <c r="L27" s="20" t="s">
        <v>206</v>
      </c>
    </row>
    <row r="28" spans="2:16">
      <c r="B28" s="372"/>
      <c r="C28" s="20" t="s">
        <v>201</v>
      </c>
      <c r="D28" s="5" t="s">
        <v>302</v>
      </c>
      <c r="E28" s="20" t="s">
        <v>303</v>
      </c>
      <c r="F28" s="5" t="s">
        <v>304</v>
      </c>
      <c r="H28" s="20" t="s">
        <v>303</v>
      </c>
      <c r="I28" s="5" t="s">
        <v>304</v>
      </c>
      <c r="J28" s="20" t="s">
        <v>305</v>
      </c>
      <c r="K28" s="20"/>
      <c r="L28" s="20" t="s">
        <v>201</v>
      </c>
    </row>
    <row r="29" spans="2:16">
      <c r="H29" s="370" t="s">
        <v>306</v>
      </c>
      <c r="I29" s="370"/>
      <c r="J29" s="20"/>
      <c r="K29" s="20"/>
      <c r="L29" s="20" t="s">
        <v>307</v>
      </c>
    </row>
    <row r="31" spans="2:16">
      <c r="B31" s="372">
        <v>44530</v>
      </c>
      <c r="C31" s="378" t="s">
        <v>308</v>
      </c>
      <c r="D31" s="378"/>
      <c r="E31" s="378"/>
      <c r="F31" s="378"/>
      <c r="H31" s="376" t="s">
        <v>309</v>
      </c>
      <c r="I31" s="376"/>
      <c r="J31" s="376"/>
      <c r="K31" s="376"/>
      <c r="L31" s="376"/>
    </row>
    <row r="32" spans="2:16">
      <c r="B32" s="372"/>
      <c r="C32" s="370" t="s">
        <v>310</v>
      </c>
      <c r="D32" s="370"/>
      <c r="E32" s="370"/>
      <c r="F32" s="370"/>
      <c r="H32" s="19"/>
      <c r="I32" s="19"/>
      <c r="J32" s="19"/>
      <c r="K32" s="19"/>
      <c r="L32" s="19"/>
    </row>
    <row r="33" spans="2:12">
      <c r="B33" s="372"/>
      <c r="C33" s="20" t="s">
        <v>202</v>
      </c>
      <c r="D33" s="20" t="s">
        <v>199</v>
      </c>
      <c r="E33" s="20" t="s">
        <v>4</v>
      </c>
      <c r="F33" s="20"/>
      <c r="H33" s="376" t="s">
        <v>259</v>
      </c>
      <c r="I33" s="376"/>
      <c r="J33" s="19"/>
      <c r="K33" s="19"/>
      <c r="L33" s="19" t="s">
        <v>202</v>
      </c>
    </row>
    <row r="34" spans="2:12">
      <c r="B34" s="372"/>
      <c r="C34" s="20" t="s">
        <v>203</v>
      </c>
      <c r="D34" s="20">
        <v>2</v>
      </c>
      <c r="E34" s="20">
        <v>18</v>
      </c>
      <c r="F34" s="20"/>
      <c r="H34" s="376"/>
      <c r="I34" s="376"/>
      <c r="J34" s="19"/>
      <c r="K34" s="19"/>
      <c r="L34" s="19" t="s">
        <v>203</v>
      </c>
    </row>
    <row r="35" spans="2:12">
      <c r="B35" s="372"/>
      <c r="C35" s="20" t="s">
        <v>204</v>
      </c>
      <c r="D35" s="20" t="s">
        <v>198</v>
      </c>
      <c r="E35" s="20" t="s">
        <v>214</v>
      </c>
      <c r="F35" s="8"/>
      <c r="H35" s="376"/>
      <c r="I35" s="376"/>
      <c r="J35" s="19" t="s">
        <v>216</v>
      </c>
      <c r="K35" s="19"/>
      <c r="L35" s="19" t="s">
        <v>204</v>
      </c>
    </row>
    <row r="36" spans="2:12">
      <c r="B36" s="372"/>
      <c r="C36" s="20" t="s">
        <v>205</v>
      </c>
      <c r="D36" s="20">
        <v>2</v>
      </c>
      <c r="E36" s="20">
        <v>1</v>
      </c>
      <c r="F36" s="20"/>
      <c r="H36" s="376"/>
      <c r="I36" s="376"/>
      <c r="J36" s="19"/>
      <c r="K36" s="19"/>
      <c r="L36" s="19" t="s">
        <v>205</v>
      </c>
    </row>
    <row r="37" spans="2:12">
      <c r="B37" s="372"/>
      <c r="C37" s="20" t="s">
        <v>206</v>
      </c>
      <c r="D37" s="20" t="s">
        <v>311</v>
      </c>
      <c r="E37" s="20" t="s">
        <v>221</v>
      </c>
      <c r="F37" s="20"/>
      <c r="H37" s="376"/>
      <c r="I37" s="376"/>
      <c r="J37" s="19"/>
      <c r="K37" s="19"/>
      <c r="L37" s="19" t="s">
        <v>206</v>
      </c>
    </row>
    <row r="38" spans="2:12">
      <c r="B38" s="372"/>
      <c r="C38" s="20" t="s">
        <v>201</v>
      </c>
      <c r="D38" s="20" t="s">
        <v>312</v>
      </c>
      <c r="E38" s="20" t="s">
        <v>300</v>
      </c>
      <c r="F38" s="20"/>
      <c r="H38" s="376"/>
      <c r="I38" s="376"/>
      <c r="J38" s="19"/>
      <c r="K38" s="19"/>
      <c r="L38" s="19" t="s">
        <v>201</v>
      </c>
    </row>
    <row r="39" spans="2:12">
      <c r="B39" s="372"/>
      <c r="C39" s="20" t="s">
        <v>307</v>
      </c>
      <c r="D39" s="20"/>
      <c r="E39" s="20" t="s">
        <v>313</v>
      </c>
      <c r="F39" s="20"/>
      <c r="H39" s="376" t="s">
        <v>314</v>
      </c>
      <c r="I39" s="376"/>
      <c r="J39" s="19"/>
      <c r="K39" s="19"/>
      <c r="L39" s="19" t="s">
        <v>307</v>
      </c>
    </row>
    <row r="41" spans="2:12">
      <c r="B41" s="374" t="s">
        <v>315</v>
      </c>
      <c r="C41" s="375"/>
      <c r="D41" s="375"/>
      <c r="E41" s="375"/>
      <c r="F41" s="375"/>
      <c r="G41" s="375"/>
      <c r="H41" s="375"/>
      <c r="I41" s="375"/>
      <c r="J41" s="375"/>
      <c r="K41" s="375"/>
      <c r="L41" s="375"/>
    </row>
    <row r="42" spans="2:12">
      <c r="B42" s="375"/>
      <c r="C42" s="375"/>
      <c r="D42" s="375"/>
      <c r="E42" s="375"/>
      <c r="F42" s="375"/>
      <c r="G42" s="375"/>
      <c r="H42" s="375"/>
      <c r="I42" s="375"/>
      <c r="J42" s="375"/>
      <c r="K42" s="375"/>
      <c r="L42" s="375"/>
    </row>
    <row r="43" spans="2:12">
      <c r="B43" s="375"/>
      <c r="C43" s="375"/>
      <c r="D43" s="375"/>
      <c r="E43" s="375"/>
      <c r="F43" s="375"/>
      <c r="G43" s="375"/>
      <c r="H43" s="375"/>
      <c r="I43" s="375"/>
      <c r="J43" s="375"/>
      <c r="K43" s="375"/>
      <c r="L43" s="375"/>
    </row>
    <row r="44" spans="2:12">
      <c r="B44" s="375"/>
      <c r="C44" s="375"/>
      <c r="D44" s="375"/>
      <c r="E44" s="375"/>
      <c r="F44" s="375"/>
      <c r="G44" s="375"/>
      <c r="H44" s="375"/>
      <c r="I44" s="375"/>
      <c r="J44" s="375"/>
      <c r="K44" s="375"/>
      <c r="L44" s="375"/>
    </row>
    <row r="45" spans="2:12">
      <c r="B45" s="375"/>
      <c r="C45" s="375"/>
      <c r="D45" s="375"/>
      <c r="E45" s="375"/>
      <c r="F45" s="375"/>
      <c r="G45" s="375"/>
      <c r="H45" s="375"/>
      <c r="I45" s="375"/>
      <c r="J45" s="375"/>
      <c r="K45" s="375"/>
      <c r="L45" s="375"/>
    </row>
    <row r="46" spans="2:12">
      <c r="B46" s="375"/>
      <c r="C46" s="375"/>
      <c r="D46" s="375"/>
      <c r="E46" s="375"/>
      <c r="F46" s="375"/>
      <c r="G46" s="375"/>
      <c r="H46" s="375"/>
      <c r="I46" s="375"/>
      <c r="J46" s="375"/>
      <c r="K46" s="375"/>
      <c r="L46" s="375"/>
    </row>
    <row r="47" spans="2:12">
      <c r="B47" s="375"/>
      <c r="C47" s="375"/>
      <c r="D47" s="375"/>
      <c r="E47" s="375"/>
      <c r="F47" s="375"/>
      <c r="G47" s="375"/>
      <c r="H47" s="375"/>
      <c r="I47" s="375"/>
      <c r="J47" s="375"/>
      <c r="K47" s="375"/>
      <c r="L47" s="375"/>
    </row>
    <row r="48" spans="2:12">
      <c r="B48" s="375"/>
      <c r="C48" s="375"/>
      <c r="D48" s="375"/>
      <c r="E48" s="375"/>
      <c r="F48" s="375"/>
      <c r="G48" s="375"/>
      <c r="H48" s="375"/>
      <c r="I48" s="375"/>
      <c r="J48" s="375"/>
      <c r="K48" s="375"/>
      <c r="L48" s="375"/>
    </row>
    <row r="49" spans="2:12">
      <c r="B49" s="375"/>
      <c r="C49" s="375"/>
      <c r="D49" s="375"/>
      <c r="E49" s="375"/>
      <c r="F49" s="375"/>
      <c r="G49" s="375"/>
      <c r="H49" s="375"/>
      <c r="I49" s="375"/>
      <c r="J49" s="375"/>
      <c r="K49" s="375"/>
      <c r="L49" s="375"/>
    </row>
    <row r="50" spans="2:12">
      <c r="B50" s="375"/>
      <c r="C50" s="375"/>
      <c r="D50" s="375"/>
      <c r="E50" s="375"/>
      <c r="F50" s="375"/>
      <c r="G50" s="375"/>
      <c r="H50" s="375"/>
      <c r="I50" s="375"/>
      <c r="J50" s="375"/>
      <c r="K50" s="375"/>
      <c r="L50" s="375"/>
    </row>
  </sheetData>
  <mergeCells count="17">
    <mergeCell ref="B41:L50"/>
    <mergeCell ref="C13:F13"/>
    <mergeCell ref="H31:L31"/>
    <mergeCell ref="H39:I39"/>
    <mergeCell ref="H33:I38"/>
    <mergeCell ref="H29:I29"/>
    <mergeCell ref="H22:L22"/>
    <mergeCell ref="H13:L13"/>
    <mergeCell ref="B31:B39"/>
    <mergeCell ref="C22:F22"/>
    <mergeCell ref="C32:F32"/>
    <mergeCell ref="C31:F31"/>
    <mergeCell ref="N13:P13"/>
    <mergeCell ref="C5:F5"/>
    <mergeCell ref="B22:B28"/>
    <mergeCell ref="B13:B19"/>
    <mergeCell ref="B5:B1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c3a0536e-8664-431e-b956-44b105c8368f">
      <Terms xmlns="http://schemas.microsoft.com/office/infopath/2007/PartnerControls"/>
    </lcf76f155ced4ddcb4097134ff3c332f>
    <TaxCatchAll xmlns="5307202a-3930-4cc4-a29d-099af420dbae" xsi:nil="true"/>
    <_Flow_SignoffStatus xmlns="c3a0536e-8664-431e-b956-44b105c8368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C862BFEC48034459AC380F275BA0042" ma:contentTypeVersion="21" ma:contentTypeDescription="Create a new document." ma:contentTypeScope="" ma:versionID="8d20a4ee17d5c157eb657e4c535f776d">
  <xsd:schema xmlns:xsd="http://www.w3.org/2001/XMLSchema" xmlns:xs="http://www.w3.org/2001/XMLSchema" xmlns:p="http://schemas.microsoft.com/office/2006/metadata/properties" xmlns:ns1="http://schemas.microsoft.com/sharepoint/v3" xmlns:ns2="c3a0536e-8664-431e-b956-44b105c8368f" xmlns:ns3="5307202a-3930-4cc4-a29d-099af420dbae" targetNamespace="http://schemas.microsoft.com/office/2006/metadata/properties" ma:root="true" ma:fieldsID="d8a51f5764a39564464707b4969cbc52" ns1:_="" ns2:_="" ns3:_="">
    <xsd:import namespace="http://schemas.microsoft.com/sharepoint/v3"/>
    <xsd:import namespace="c3a0536e-8664-431e-b956-44b105c8368f"/>
    <xsd:import namespace="5307202a-3930-4cc4-a29d-099af420dba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ServiceAutoKeyPoints" minOccurs="0"/>
                <xsd:element ref="ns2:MediaServiceKeyPoint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a0536e-8664-431e-b956-44b105c836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12d76e9c-590f-4b38-be61-4865b0f83f8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_Flow_SignoffStatus" ma:index="28"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07202a-3930-4cc4-a29d-099af420dbae"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09bd34a6-82eb-4ea4-98ac-126b20bd4d8c}" ma:internalName="TaxCatchAll" ma:showField="CatchAllData" ma:web="5307202a-3930-4cc4-a29d-099af420db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87A925-1FD5-4882-942A-689815A2173B}">
  <ds:schemaRefs>
    <ds:schemaRef ds:uri="http://schemas.microsoft.com/sharepoint/v3/contenttype/forms"/>
  </ds:schemaRefs>
</ds:datastoreItem>
</file>

<file path=customXml/itemProps2.xml><?xml version="1.0" encoding="utf-8"?>
<ds:datastoreItem xmlns:ds="http://schemas.openxmlformats.org/officeDocument/2006/customXml" ds:itemID="{A3BB4C78-8752-4139-9B2A-A05B92433F3D}">
  <ds:schemaRefs>
    <ds:schemaRef ds:uri="http://schemas.microsoft.com/office/2006/metadata/properties"/>
    <ds:schemaRef ds:uri="http://www.w3.org/2000/xmlns/"/>
    <ds:schemaRef ds:uri="http://schemas.microsoft.com/sharepoint/v3"/>
    <ds:schemaRef ds:uri="http://www.w3.org/2001/XMLSchema-instance"/>
    <ds:schemaRef ds:uri="c3a0536e-8664-431e-b956-44b105c8368f"/>
    <ds:schemaRef ds:uri="http://schemas.microsoft.com/office/infopath/2007/PartnerControls"/>
    <ds:schemaRef ds:uri="5307202a-3930-4cc4-a29d-099af420dbae"/>
  </ds:schemaRefs>
</ds:datastoreItem>
</file>

<file path=customXml/itemProps3.xml><?xml version="1.0" encoding="utf-8"?>
<ds:datastoreItem xmlns:ds="http://schemas.openxmlformats.org/officeDocument/2006/customXml" ds:itemID="{99331853-B5D8-4964-BA49-0A4C6C933CB4}">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sharepoint/v3"/>
    <ds:schemaRef ds:uri="c3a0536e-8664-431e-b956-44b105c8368f"/>
    <ds:schemaRef ds:uri="5307202a-3930-4cc4-a29d-099af420dba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ed80dc6-fc1e-43ad-b747-ed33265e6e16}" enabled="1" method="Privileged" siteId="{d5cb08f4-d388-48b2-bc02-8ecce3c63fce}"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All Scenarios</vt:lpstr>
      <vt:lpstr>Scenarios by day</vt:lpstr>
      <vt:lpstr>Wireframe</vt:lpstr>
      <vt:lpstr>MSEL</vt:lpstr>
      <vt:lpstr>Sheet1</vt:lpstr>
      <vt:lpstr>Sheet2</vt:lpstr>
      <vt:lpstr>Scenario playout 2023</vt:lpstr>
      <vt:lpstr>Obs Chklist</vt:lpstr>
      <vt:lpstr>Archive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LeoKoh</dc:creator>
  <cp:keywords/>
  <dc:description/>
  <cp:lastModifiedBy>Athena Chua</cp:lastModifiedBy>
  <cp:revision/>
  <cp:lastPrinted>2024-08-24T08:16:49Z</cp:lastPrinted>
  <dcterms:created xsi:type="dcterms:W3CDTF">2021-09-09T07:32:02Z</dcterms:created>
  <dcterms:modified xsi:type="dcterms:W3CDTF">2025-02-07T13:04:15Z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0x010100EC862BFEC48034459AC380F275BA0042</vt:lpwstr>
  </property>
  <property fmtid="{D5CDD505-2E9C-101B-9397-08002B2CF9AE}" pid="3" name="MediaServiceImageTags">
    <vt:lpwstr/>
  </property>
</Properties>
</file>